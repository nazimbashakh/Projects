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4227154500dae642/文档/projects/HR analyst  Excel-1/"/>
    </mc:Choice>
  </mc:AlternateContent>
  <xr:revisionPtr revIDLastSave="1498" documentId="8_{CC36ED2C-F849-4C11-8121-CF7785B59FB2}" xr6:coauthVersionLast="47" xr6:coauthVersionMax="47" xr10:uidLastSave="{15C2987B-4BB7-45EC-A0B2-2EDDA4C47D86}"/>
  <bookViews>
    <workbookView xWindow="-108" yWindow="-108" windowWidth="23256" windowHeight="12456" tabRatio="616" xr2:uid="{8CBCB4AD-511B-4D4E-B9A8-8571EEE9CA07}"/>
  </bookViews>
  <sheets>
    <sheet name="Dashboard" sheetId="1" r:id="rId1"/>
    <sheet name="Data " sheetId="2" r:id="rId2"/>
    <sheet name="PivotTables" sheetId="3"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5" i="3" l="1"/>
  <c r="R12" i="3"/>
  <c r="J20" i="3"/>
  <c r="F13" i="3"/>
  <c r="G13" i="3"/>
  <c r="O10" i="3"/>
  <c r="C11" i="3"/>
  <c r="R13" i="3"/>
  <c r="G12" i="3"/>
  <c r="X15" i="3"/>
  <c r="J15" i="3"/>
  <c r="G11" i="3"/>
  <c r="U12" i="3"/>
  <c r="F15" i="3"/>
  <c r="U13" i="3"/>
  <c r="X13" i="3"/>
  <c r="G15" i="3"/>
  <c r="R11" i="3"/>
  <c r="F22" i="3"/>
  <c r="G14" i="3"/>
  <c r="F12" i="3"/>
  <c r="F11" i="3"/>
  <c r="X12" i="3"/>
  <c r="F21" i="3"/>
  <c r="J14" i="3"/>
  <c r="F19" i="3"/>
  <c r="R15" i="3"/>
  <c r="C12" i="3"/>
  <c r="X14" i="3"/>
  <c r="F23" i="3"/>
  <c r="J13" i="3"/>
  <c r="F20" i="3"/>
  <c r="X11" i="3"/>
  <c r="J12" i="3"/>
  <c r="J16" i="3"/>
  <c r="J19" i="3"/>
  <c r="O9" i="3"/>
  <c r="O11" i="3"/>
  <c r="F14" i="3"/>
  <c r="U11" i="3"/>
  <c r="R14" i="3"/>
  <c r="U14" i="3"/>
  <c r="C10" i="3"/>
  <c r="C13" i="3" l="1"/>
  <c r="U16" i="3"/>
  <c r="N18" i="3"/>
  <c r="O18" i="3" s="1"/>
  <c r="N16" i="3"/>
  <c r="O16" i="3" s="1"/>
  <c r="O12" i="3"/>
  <c r="J21" i="3"/>
  <c r="K19" i="3"/>
  <c r="L19" i="3" s="1"/>
  <c r="J17" i="3"/>
  <c r="X16" i="3"/>
  <c r="F16" i="3"/>
  <c r="G16" i="3"/>
  <c r="N17" i="3"/>
  <c r="O17" i="3" s="1"/>
  <c r="K20" i="3"/>
  <c r="L20" i="3" s="1"/>
</calcChain>
</file>

<file path=xl/sharedStrings.xml><?xml version="1.0" encoding="utf-8"?>
<sst xmlns="http://schemas.openxmlformats.org/spreadsheetml/2006/main" count="880" uniqueCount="231">
  <si>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</si>
  <si>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</si>
  <si>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</si>
  <si>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</si>
  <si>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</si>
  <si>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</si>
  <si>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</si>
  <si>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</si>
  <si>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</si>
  <si>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</si>
  <si>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</si>
  <si>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</si>
  <si>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</si>
  <si>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</si>
  <si>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</si>
  <si>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</si>
  <si>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</si>
  <si>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</si>
  <si>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</si>
  <si>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</si>
  <si>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</si>
  <si>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</si>
  <si>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</si>
  <si>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</si>
  <si>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</si>
  <si>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</si>
  <si>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</si>
  <si>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</si>
  <si>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</si>
  <si>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</si>
  <si>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</si>
  <si>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</si>
  <si>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</si>
  <si>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</si>
  <si>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</si>
  <si>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</si>
  <si>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</si>
  <si>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</si>
  <si>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</si>
  <si>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</si>
  <si>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</si>
  <si>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</si>
  <si>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</si>
  <si>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</si>
  <si>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</si>
  <si>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</si>
  <si>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</si>
  <si>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</si>
  <si>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</si>
  <si>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</si>
  <si>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</si>
  <si>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</si>
  <si>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</si>
  <si>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</si>
  <si>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</si>
  <si>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</si>
  <si>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</si>
  <si>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</si>
  <si>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</si>
  <si>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</si>
  <si>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</si>
  <si>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</si>
  <si>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</si>
  <si>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</si>
  <si>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</si>
  <si>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</si>
  <si>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</si>
  <si>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</si>
  <si>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</si>
  <si>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</si>
  <si>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</si>
  <si>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</si>
  <si>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</si>
  <si>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</si>
  <si>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</si>
  <si>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</si>
  <si>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</si>
  <si>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</si>
  <si>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</si>
  <si>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</si>
  <si>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</si>
  <si>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</si>
  <si>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</si>
  <si>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</si>
  <si>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</si>
  <si>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</si>
  <si>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</si>
  <si>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</si>
  <si>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</si>
  <si>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</si>
  <si>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</si>
  <si>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</si>
  <si>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</si>
  <si>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</si>
  <si>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</si>
  <si>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</si>
  <si>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</si>
  <si>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</si>
  <si>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</si>
  <si>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</si>
  <si>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</si>
  <si>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</si>
  <si>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</si>
  <si>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</si>
  <si>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</si>
  <si>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</si>
  <si>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</si>
  <si>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</si>
  <si>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</si>
  <si>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</si>
  <si>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</si>
  <si>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</si>
  <si>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</si>
  <si>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</si>
  <si>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</si>
  <si>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</si>
  <si>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</si>
  <si>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</si>
  <si>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</si>
  <si>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</si>
  <si>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</si>
  <si>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</si>
  <si>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</si>
  <si>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</si>
  <si>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</si>
  <si>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</si>
  <si>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</si>
  <si>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</si>
  <si>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</si>
  <si>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</si>
  <si>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</si>
  <si>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</si>
  <si>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</si>
  <si>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</si>
  <si>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</si>
  <si>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</si>
  <si>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</si>
  <si>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</si>
  <si>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</si>
  <si>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</si>
  <si>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</si>
  <si>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</si>
  <si>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</si>
  <si>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</si>
  <si>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</si>
  <si>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</si>
  <si>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</si>
  <si>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</si>
  <si>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</si>
  <si>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</si>
  <si>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</si>
  <si>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</si>
  <si>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</si>
  <si>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</si>
  <si>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</si>
  <si>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</si>
  <si>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</si>
  <si>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</si>
  <si>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</si>
  <si>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</si>
  <si>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</si>
  <si>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</si>
  <si>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</si>
  <si>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</si>
  <si>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</si>
  <si>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</si>
  <si>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</si>
  <si>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</si>
  <si>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</si>
  <si>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</si>
  <si>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</si>
  <si>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</si>
  <si>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</si>
  <si>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</si>
  <si>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</si>
  <si>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</si>
  <si>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</si>
  <si>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</si>
  <si>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</si>
  <si>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</si>
  <si>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</si>
  <si>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</si>
  <si>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</si>
  <si>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</si>
  <si>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</si>
  <si>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</si>
  <si>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</si>
  <si>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</si>
  <si>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</si>
  <si>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</si>
  <si>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</si>
  <si>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</si>
  <si>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</si>
  <si>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</si>
  <si>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</si>
  <si>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</si>
  <si>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</si>
  <si>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</si>
  <si>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</si>
  <si>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</si>
  <si>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</si>
  <si>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</si>
  <si>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</si>
  <si>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</si>
  <si>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</si>
  <si>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</si>
  <si>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</si>
  <si>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</si>
  <si>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</si>
  <si>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</si>
  <si>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</si>
  <si>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</si>
  <si>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</si>
  <si>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</si>
  <si>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</si>
  <si>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</si>
  <si>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</si>
  <si>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employees to employee status</t>
  </si>
  <si>
    <t>Total</t>
  </si>
  <si>
    <t>Sum of Salary</t>
  </si>
  <si>
    <t>Salaries to departments</t>
  </si>
  <si>
    <t>Column Labels</t>
  </si>
  <si>
    <t>Age range to gender</t>
  </si>
  <si>
    <t xml:space="preserve">Male </t>
  </si>
  <si>
    <t>Workplace</t>
  </si>
  <si>
    <t>skills</t>
  </si>
  <si>
    <t>Sum of Leave Taken</t>
  </si>
  <si>
    <t>Average of Performance Rating</t>
  </si>
  <si>
    <t>Totak</t>
  </si>
  <si>
    <t>Regions</t>
  </si>
  <si>
    <t>Departments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</si>
</sst>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_ * #,##0_ ;_ * \-#,##0_ ;_ * &quot;-&quot;??_ ;_ @_ "/>
    <numFmt numFmtId="165" formatCode="0.0"/>
  </numFmts>
  <fonts count="7">
    <font>
      <sz val="11"/>
      <color theme="1"/>
      <name val="Calibri"/>
      <family val="2"/>
      <scheme val="minor"/>
    </font>
    <font>
      <sz val="11"/>
      <color theme="1"/>
      <name val="Calibri"/>
      <family val="2"/>
      <scheme val="minor"/>
    </font>
    <font>
      <sz val="11"/>
      <color theme="1"/>
      <name val="Kulim park"/>
    </font>
    <font>
      <b/>
      <sz val="11"/>
      <color theme="0" tint="-4.9989318521683403E-2"/>
      <name val="Kulim Park"/>
    </font>
    <font>
      <sz val="11"/>
      <color theme="0" tint="-4.9989318521683403E-2"/>
      <name val="Kulim Park"/>
    </font>
    <font>
      <sz val="11"/>
      <color theme="2"/>
      <name val="Kulim park"/>
    </font>
    <font>
      <b/>
      <sz val="11"/>
      <color theme="1"/>
      <name val="Kulim park"/>
    </font>
  </fonts>
  <fills count="5">
    <fill>
      <patternFill patternType="none"/>
    </fill>
    <fill>
      <patternFill patternType="gray125"/>
    </fill>
    <fill>
      <patternFill patternType="solid">
        <fgColor theme="1" tint="0.249977111117893"/>
        <bgColor indexed="64"/>
      </patternFill>
    </fill>
    <fill>
      <patternFill patternType="solid">
        <fgColor rgb="FF282828"/>
        <bgColor indexed="64"/>
      </patternFill>
    </fill>
    <fill>
      <patternFill patternType="solid">
        <fgColor theme="1" tint="0.34998626667073579"/>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2" fillId="0" borderId="0" xfId="0" applyFont="1"/>
    <xf numFmtId="0" fontId="2" fillId="2" borderId="0" xfId="0" applyFont="1" applyFill="1"/>
    <xf numFmtId="0" fontId="0" fillId="2" borderId="0" xfId="0" applyFill="1"/>
    <xf numFmtId="0" fontId="3" fillId="3" borderId="0" xfId="0" applyFont="1" applyFill="1" applyAlignment="1">
      <alignment horizontal="center" vertical="center"/>
    </xf>
    <xf numFmtId="0" fontId="4" fillId="3" borderId="1" xfId="0" applyFont="1" applyFill="1" applyBorder="1" applyAlignment="1">
      <alignment horizontal="center" vertical="center"/>
    </xf>
    <xf numFmtId="0" fontId="2" fillId="0" borderId="0" xfId="0" pivotButton="1" applyFont="1"/>
    <xf numFmtId="0" fontId="2" fillId="0" borderId="0" xfId="0" applyFont="1" applyAlignment="1">
      <alignment horizontal="left"/>
    </xf>
    <xf numFmtId="164" fontId="2" fillId="0" borderId="0" xfId="0" applyNumberFormat="1" applyFont="1"/>
    <xf numFmtId="164" fontId="2" fillId="0" borderId="0" xfId="1" applyNumberFormat="1" applyFont="1"/>
    <xf numFmtId="0" fontId="0" fillId="0" borderId="0" xfId="0" pivotButton="1"/>
    <xf numFmtId="0" fontId="0" fillId="0" borderId="0" xfId="0" applyAlignment="1">
      <alignment horizontal="left"/>
    </xf>
    <xf numFmtId="9" fontId="6" fillId="0" borderId="0" xfId="2" applyFont="1"/>
    <xf numFmtId="9" fontId="2" fillId="0" borderId="0" xfId="0" applyNumberFormat="1" applyFont="1"/>
    <xf numFmtId="164" fontId="0" fillId="0" borderId="0" xfId="0" applyNumberFormat="1"/>
    <xf numFmtId="165" fontId="2" fillId="0" borderId="0" xfId="0" applyNumberFormat="1" applyFont="1"/>
    <xf numFmtId="165" fontId="6" fillId="0" borderId="0" xfId="0" applyNumberFormat="1" applyFont="1"/>
    <xf numFmtId="164" fontId="2" fillId="0" borderId="0" xfId="1" applyNumberFormat="1" applyFont="1" applyAlignment="1">
      <alignment horizontal="right"/>
    </xf>
    <xf numFmtId="164" fontId="2" fillId="0" borderId="0" xfId="1" applyNumberFormat="1" applyFont="1" applyAlignment="1">
      <alignment horizontal="right" indent="1"/>
    </xf>
    <xf numFmtId="0" fontId="4" fillId="4" borderId="0" xfId="0" applyFont="1" applyFill="1" applyAlignment="1">
      <alignment horizontal="center"/>
    </xf>
    <xf numFmtId="0" fontId="2" fillId="4" borderId="0" xfId="0" applyFont="1" applyFill="1" applyAlignment="1">
      <alignment horizontal="center"/>
    </xf>
    <xf numFmtId="0" fontId="5" fillId="4" borderId="0" xfId="0" applyFont="1" applyFill="1" applyAlignment="1">
      <alignment horizontal="center"/>
    </xf>
    <xf numFmtId="0" fontId="5" fillId="2" borderId="0" xfId="0" applyFont="1" applyFill="1" applyAlignment="1">
      <alignment horizontal="center"/>
    </xf>
  </cellXfs>
  <cellStyles count="3">
    <cellStyle name="Comma" xfId="1" builtinId="3"/>
    <cellStyle name="Normal" xfId="0" builtinId="0"/>
    <cellStyle name="Percent" xfId="2" builtinId="5"/>
  </cellStyles>
  <dxfs count="58">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5"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 #,##0_ ;_ * \-#,##0_ ;_ * &quot;-&quot;??_ ;_ @_ "/>
    </dxf>
    <dxf>
      <font>
        <name val="Kulim Park"/>
      </font>
    </dxf>
    <dxf>
      <font>
        <name val="Kulim Park"/>
      </font>
    </dxf>
    <dxf>
      <font>
        <name val="Kulim Park"/>
      </font>
    </dxf>
    <dxf>
      <font>
        <name val="Kulim Park"/>
      </font>
    </dxf>
    <dxf>
      <font>
        <name val="Kulim Park"/>
      </font>
    </dxf>
    <dxf>
      <font>
        <name val="Kulim Park"/>
      </font>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val="0"/>
        <i val="0"/>
        <sz val="10"/>
        <color theme="0" tint="-0.14993743705557422"/>
        <name val="Aptos Display"/>
        <family val="2"/>
        <scheme val="none"/>
      </font>
    </dxf>
    <dxf>
      <font>
        <color theme="0" tint="-4.9989318521683403E-2"/>
        <name val="Aptos Display"/>
        <family val="2"/>
        <scheme val="none"/>
      </font>
      <fill>
        <patternFill>
          <fgColor rgb="FF1F1F1F"/>
          <bgColor rgb="FF1F1F1F"/>
        </patternFill>
      </fill>
    </dxf>
    <dxf>
      <font>
        <name val="kul"/>
      </font>
    </dxf>
  </dxfs>
  <tableStyles count="2" defaultTableStyle="TableStyleMedium2" defaultPivotStyle="PivotStyleLight16">
    <tableStyle name="Slicer Style 1" pivot="0" table="0" count="1" xr9:uid="{F830A965-D2CA-4685-A940-C996D3332B6C}">
      <tableStyleElement type="wholeTable" dxfId="57"/>
    </tableStyle>
    <tableStyle name="Slicer Style 2" pivot="0" table="0" count="5" xr9:uid="{76B368E7-E698-4A9D-94F6-2C4FDD085387}">
      <tableStyleElement type="wholeTable" dxfId="56"/>
      <tableStyleElement type="headerRow" dxfId="55"/>
    </tableStyle>
  </tableStyles>
  <colors>
    <mruColors>
      <color rgb="FFF4B084"/>
      <color rgb="FFFFD966"/>
      <color rgb="FF1F1F1F"/>
      <color rgb="FF2B2B2B"/>
      <color rgb="FFD9D9D9"/>
      <color rgb="FFEFDDA3"/>
      <color rgb="FF3B3B3B"/>
      <color rgb="FF252121"/>
      <color rgb="FF282828"/>
      <color rgb="FF458B61"/>
    </mruColors>
  </colors>
  <extLst>
    <ext xmlns:x14="http://schemas.microsoft.com/office/spreadsheetml/2009/9/main" uri="{46F421CA-312F-682f-3DD2-61675219B42D}">
      <x14:dxfs count="3">
        <dxf>
          <font>
            <color theme="0" tint="-4.9989318521683403E-2"/>
            <name val="Aptos Display"/>
            <family val="2"/>
            <scheme val="none"/>
          </font>
          <fill>
            <patternFill>
              <fgColor theme="0" tint="-0.14996795556505021"/>
              <bgColor rgb="FF2B2B2B"/>
            </patternFill>
          </fill>
        </dxf>
        <dxf>
          <font>
            <b val="0"/>
            <i val="0"/>
            <sz val="10"/>
            <color theme="1"/>
            <name val="Aptos Display"/>
            <family val="2"/>
            <scheme val="none"/>
          </font>
          <fill>
            <patternFill>
              <fgColor theme="5" tint="0.39994506668294322"/>
              <bgColor rgb="FFF4B084"/>
            </patternFill>
          </fill>
        </dxf>
        <dxf>
          <font>
            <b val="0"/>
            <i val="0"/>
            <sz val="10"/>
            <color theme="1"/>
            <name val="Aptos Display"/>
            <family val="2"/>
            <scheme val="none"/>
          </font>
          <fill>
            <patternFill>
              <fgColor theme="0" tint="-0.14996795556505021"/>
              <bgColor rgb="FFD9D9D9"/>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rgbClr val="1F1F1F"/>
              </a:solidFill>
            </a:ln>
          </c:spPr>
          <c:dPt>
            <c:idx val="0"/>
            <c:bubble3D val="0"/>
            <c:spPr>
              <a:solidFill>
                <a:schemeClr val="accent2">
                  <a:lumMod val="60000"/>
                  <a:lumOff val="40000"/>
                </a:schemeClr>
              </a:solidFill>
              <a:ln w="19050">
                <a:solidFill>
                  <a:srgbClr val="1F1F1F"/>
                </a:solidFill>
              </a:ln>
              <a:effectLst/>
            </c:spPr>
            <c:extLst>
              <c:ext xmlns:c16="http://schemas.microsoft.com/office/drawing/2014/chart" uri="{C3380CC4-5D6E-409C-BE32-E72D297353CC}">
                <c16:uniqueId val="{00000001-41CA-4512-96CE-FD9B709CAFE5}"/>
              </c:ext>
            </c:extLst>
          </c:dPt>
          <c:dPt>
            <c:idx val="1"/>
            <c:bubble3D val="0"/>
            <c:spPr>
              <a:solidFill>
                <a:schemeClr val="tx1">
                  <a:lumMod val="75000"/>
                  <a:lumOff val="25000"/>
                </a:schemeClr>
              </a:solidFill>
              <a:ln w="19050">
                <a:solidFill>
                  <a:srgbClr val="1F1F1F"/>
                </a:solidFill>
              </a:ln>
              <a:effectLst/>
            </c:spPr>
            <c:extLst>
              <c:ext xmlns:c16="http://schemas.microsoft.com/office/drawing/2014/chart" uri="{C3380CC4-5D6E-409C-BE32-E72D297353CC}">
                <c16:uniqueId val="{00000003-41CA-4512-96CE-FD9B709CAFE5}"/>
              </c:ext>
            </c:extLst>
          </c:dPt>
          <c:dPt>
            <c:idx val="2"/>
            <c:bubble3D val="0"/>
            <c:spPr>
              <a:solidFill>
                <a:schemeClr val="accent3"/>
              </a:solidFill>
              <a:ln w="19050">
                <a:solidFill>
                  <a:srgbClr val="1F1F1F"/>
                </a:solidFill>
              </a:ln>
              <a:effectLst/>
            </c:spPr>
            <c:extLst>
              <c:ext xmlns:c16="http://schemas.microsoft.com/office/drawing/2014/chart" uri="{C3380CC4-5D6E-409C-BE32-E72D297353CC}">
                <c16:uniqueId val="{00000005-41CA-4512-96CE-FD9B709CAFE5}"/>
              </c:ext>
            </c:extLst>
          </c:dPt>
          <c:cat>
            <c:strRef>
              <c:f>PivotTables!$B$10:$B$12</c:f>
              <c:strCache>
                <c:ptCount val="3"/>
                <c:pt idx="0">
                  <c:v>Contract</c:v>
                </c:pt>
                <c:pt idx="1">
                  <c:v>Full-Time</c:v>
                </c:pt>
                <c:pt idx="2">
                  <c:v>Part-Time</c:v>
                </c:pt>
              </c:strCache>
            </c:strRef>
          </c:cat>
          <c:val>
            <c:numRef>
              <c:f>PivotTables!$C$10:$C$12</c:f>
              <c:numCache>
                <c:formatCode>General</c:formatCode>
                <c:ptCount val="3"/>
                <c:pt idx="0">
                  <c:v>17</c:v>
                </c:pt>
                <c:pt idx="1">
                  <c:v>20</c:v>
                </c:pt>
                <c:pt idx="2">
                  <c:v>13</c:v>
                </c:pt>
              </c:numCache>
            </c:numRef>
          </c:val>
          <c:extLst>
            <c:ext xmlns:c16="http://schemas.microsoft.com/office/drawing/2014/chart" uri="{C3380CC4-5D6E-409C-BE32-E72D297353CC}">
              <c16:uniqueId val="{00000006-41CA-4512-96CE-FD9B709CAFE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1F1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[Book1.xlsx]PivotTables!age range to gender</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2">
                      <a:lumMod val="60000"/>
                      <a:lumOff val="40000"/>
                    </a:schemeClr>
                  </a:solidFill>
                  <a:latin typeface="Kulim Park"/>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solidFill>
                  <a:latin typeface="Kulim Park"/>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PivotTables!$J$3:$J$4</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2">
                        <a:lumMod val="60000"/>
                        <a:lumOff val="40000"/>
                      </a:schemeClr>
                    </a:solidFill>
                    <a:latin typeface="Kulim Par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PivotTables!$I$5:$I$10</c:f>
              <c:strCache>
                <c:ptCount val="5"/>
                <c:pt idx="0">
                  <c:v>18-25</c:v>
                </c:pt>
                <c:pt idx="1">
                  <c:v>26-35</c:v>
                </c:pt>
                <c:pt idx="2">
                  <c:v>36-45</c:v>
                </c:pt>
                <c:pt idx="3">
                  <c:v>46-55</c:v>
                </c:pt>
                <c:pt idx="4">
                  <c:v>56 &lt;</c:v>
                </c:pt>
              </c:strCache>
            </c:strRef>
          </c:cat>
          <c:val>
            <c:numRef>
              <c:f>PivotTables!$J$5:$J$10</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BCA2-43EE-9B4A-71AA3F947DDE}"/>
            </c:ext>
          </c:extLst>
        </c:ser>
        <c:ser>
          <c:idx val="1"/>
          <c:order val="1"/>
          <c:tx>
            <c:strRef>
              <c:f>PivotTables!$K$3:$K$4</c:f>
              <c:strCache>
                <c:ptCount val="1"/>
                <c:pt idx="0">
                  <c:v>Male</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3"/>
                    </a:solidFill>
                    <a:latin typeface="Kulim Par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PivotTables!$I$5:$I$10</c:f>
              <c:strCache>
                <c:ptCount val="5"/>
                <c:pt idx="0">
                  <c:v>18-25</c:v>
                </c:pt>
                <c:pt idx="1">
                  <c:v>26-35</c:v>
                </c:pt>
                <c:pt idx="2">
                  <c:v>36-45</c:v>
                </c:pt>
                <c:pt idx="3">
                  <c:v>46-55</c:v>
                </c:pt>
                <c:pt idx="4">
                  <c:v>56 &lt;</c:v>
                </c:pt>
              </c:strCache>
            </c:strRef>
          </c:cat>
          <c:val>
            <c:numRef>
              <c:f>PivotTables!$K$5:$K$10</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0-75CB-4524-8CEF-0BD5605E5802}"/>
            </c:ext>
          </c:extLst>
        </c:ser>
        <c:dLbls>
          <c:dLblPos val="outEnd"/>
          <c:showLegendKey val="0"/>
          <c:showVal val="1"/>
          <c:showCatName val="0"/>
          <c:showSerName val="0"/>
          <c:showPercent val="0"/>
          <c:showBubbleSize val="0"/>
        </c:dLbls>
        <c:gapWidth val="219"/>
        <c:overlap val="-27"/>
        <c:axId val="1314176223"/>
        <c:axId val="1314177183"/>
      </c:barChart>
      <c:catAx>
        <c:axId val="131417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Kulim Park"/>
                <a:ea typeface="+mn-ea"/>
                <a:cs typeface="+mn-cs"/>
              </a:defRPr>
            </a:pPr>
            <a:endParaRPr lang="en-US"/>
          </a:p>
        </c:txPr>
        <c:crossAx val="1314177183"/>
        <c:crosses val="autoZero"/>
        <c:auto val="1"/>
        <c:lblAlgn val="ctr"/>
        <c:lblOffset val="100"/>
        <c:noMultiLvlLbl val="0"/>
      </c:catAx>
      <c:valAx>
        <c:axId val="1314177183"/>
        <c:scaling>
          <c:orientation val="minMax"/>
        </c:scaling>
        <c:delete val="0"/>
        <c:axPos val="l"/>
        <c:majorGridlines>
          <c:spPr>
            <a:ln w="9525" cap="flat" cmpd="sng" algn="ctr">
              <a:solidFill>
                <a:srgbClr val="EFDDA3">
                  <a:alpha val="35000"/>
                </a:srgbClr>
              </a:solidFill>
              <a:prstDash val="dash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Kulim Park"/>
                <a:ea typeface="+mn-ea"/>
                <a:cs typeface="+mn-cs"/>
              </a:defRPr>
            </a:pPr>
            <a:endParaRPr lang="en-US"/>
          </a:p>
        </c:txPr>
        <c:crossAx val="131417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Kulim Park"/>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2">
                <a:lumMod val="60000"/>
                <a:lumOff val="40000"/>
              </a:schemeClr>
            </a:solidFill>
            <a:ln>
              <a:noFill/>
            </a:ln>
            <a:effectLst/>
          </c:spPr>
          <c:invertIfNegative val="0"/>
          <c:val>
            <c:numRef>
              <c:f>PivotTables!$N$16</c:f>
              <c:numCache>
                <c:formatCode>0%</c:formatCode>
                <c:ptCount val="1"/>
                <c:pt idx="0">
                  <c:v>0.46</c:v>
                </c:pt>
              </c:numCache>
            </c:numRef>
          </c:val>
          <c:extLst>
            <c:ext xmlns:c16="http://schemas.microsoft.com/office/drawing/2014/chart" uri="{C3380CC4-5D6E-409C-BE32-E72D297353CC}">
              <c16:uniqueId val="{00000000-D922-453F-B726-CCF40C6E1132}"/>
            </c:ext>
          </c:extLst>
        </c:ser>
        <c:ser>
          <c:idx val="1"/>
          <c:order val="1"/>
          <c:spPr>
            <a:solidFill>
              <a:schemeClr val="tx1">
                <a:lumMod val="95000"/>
                <a:lumOff val="5000"/>
              </a:schemeClr>
            </a:solidFill>
            <a:ln>
              <a:noFill/>
            </a:ln>
            <a:effectLst/>
          </c:spPr>
          <c:invertIfNegative val="0"/>
          <c:val>
            <c:numRef>
              <c:f>PivotTables!$O$16</c:f>
              <c:numCache>
                <c:formatCode>0%</c:formatCode>
                <c:ptCount val="1"/>
                <c:pt idx="0">
                  <c:v>0.54</c:v>
                </c:pt>
              </c:numCache>
            </c:numRef>
          </c:val>
          <c:extLst>
            <c:ext xmlns:c16="http://schemas.microsoft.com/office/drawing/2014/chart" uri="{C3380CC4-5D6E-409C-BE32-E72D297353CC}">
              <c16:uniqueId val="{00000001-D922-453F-B726-CCF40C6E1132}"/>
            </c:ext>
          </c:extLst>
        </c:ser>
        <c:dLbls>
          <c:showLegendKey val="0"/>
          <c:showVal val="0"/>
          <c:showCatName val="0"/>
          <c:showSerName val="0"/>
          <c:showPercent val="0"/>
          <c:showBubbleSize val="0"/>
        </c:dLbls>
        <c:gapWidth val="150"/>
        <c:overlap val="100"/>
        <c:axId val="1230995759"/>
        <c:axId val="1231001039"/>
      </c:barChart>
      <c:catAx>
        <c:axId val="1230995759"/>
        <c:scaling>
          <c:orientation val="minMax"/>
        </c:scaling>
        <c:delete val="1"/>
        <c:axPos val="l"/>
        <c:majorTickMark val="none"/>
        <c:minorTickMark val="none"/>
        <c:tickLblPos val="nextTo"/>
        <c:crossAx val="1231001039"/>
        <c:crosses val="autoZero"/>
        <c:auto val="1"/>
        <c:lblAlgn val="ctr"/>
        <c:lblOffset val="100"/>
        <c:noMultiLvlLbl val="0"/>
      </c:catAx>
      <c:valAx>
        <c:axId val="1231001039"/>
        <c:scaling>
          <c:orientation val="minMax"/>
        </c:scaling>
        <c:delete val="1"/>
        <c:axPos val="b"/>
        <c:numFmt formatCode="0%" sourceLinked="1"/>
        <c:majorTickMark val="none"/>
        <c:minorTickMark val="none"/>
        <c:tickLblPos val="nextTo"/>
        <c:crossAx val="12309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45786252876626"/>
          <c:y val="0.13000007677169889"/>
          <c:w val="0.82771081068414964"/>
          <c:h val="0.70749982726367755"/>
        </c:manualLayout>
      </c:layout>
      <c:barChart>
        <c:barDir val="bar"/>
        <c:grouping val="percentStacked"/>
        <c:varyColors val="0"/>
        <c:ser>
          <c:idx val="0"/>
          <c:order val="0"/>
          <c:spPr>
            <a:solidFill>
              <a:schemeClr val="accent2">
                <a:lumMod val="60000"/>
                <a:lumOff val="40000"/>
              </a:schemeClr>
            </a:solidFill>
            <a:ln>
              <a:noFill/>
            </a:ln>
            <a:effectLst/>
          </c:spPr>
          <c:invertIfNegative val="0"/>
          <c:val>
            <c:numRef>
              <c:f>PivotTables!$N$17</c:f>
              <c:numCache>
                <c:formatCode>0%</c:formatCode>
                <c:ptCount val="1"/>
                <c:pt idx="0">
                  <c:v>0.16</c:v>
                </c:pt>
              </c:numCache>
            </c:numRef>
          </c:val>
          <c:extLst>
            <c:ext xmlns:c16="http://schemas.microsoft.com/office/drawing/2014/chart" uri="{C3380CC4-5D6E-409C-BE32-E72D297353CC}">
              <c16:uniqueId val="{00000000-952C-42B2-AAB9-28AFCDD527BE}"/>
            </c:ext>
          </c:extLst>
        </c:ser>
        <c:ser>
          <c:idx val="1"/>
          <c:order val="1"/>
          <c:spPr>
            <a:solidFill>
              <a:schemeClr val="tx1">
                <a:lumMod val="95000"/>
                <a:lumOff val="5000"/>
              </a:schemeClr>
            </a:solidFill>
            <a:ln>
              <a:noFill/>
            </a:ln>
            <a:effectLst/>
          </c:spPr>
          <c:invertIfNegative val="0"/>
          <c:val>
            <c:numRef>
              <c:f>PivotTables!$O$17</c:f>
              <c:numCache>
                <c:formatCode>0%</c:formatCode>
                <c:ptCount val="1"/>
                <c:pt idx="0">
                  <c:v>0.84</c:v>
                </c:pt>
              </c:numCache>
            </c:numRef>
          </c:val>
          <c:extLst>
            <c:ext xmlns:c16="http://schemas.microsoft.com/office/drawing/2014/chart" uri="{C3380CC4-5D6E-409C-BE32-E72D297353CC}">
              <c16:uniqueId val="{00000001-952C-42B2-AAB9-28AFCDD527BE}"/>
            </c:ext>
          </c:extLst>
        </c:ser>
        <c:dLbls>
          <c:showLegendKey val="0"/>
          <c:showVal val="0"/>
          <c:showCatName val="0"/>
          <c:showSerName val="0"/>
          <c:showPercent val="0"/>
          <c:showBubbleSize val="0"/>
        </c:dLbls>
        <c:gapWidth val="150"/>
        <c:overlap val="100"/>
        <c:axId val="1203113247"/>
        <c:axId val="1203109407"/>
      </c:barChart>
      <c:catAx>
        <c:axId val="1203113247"/>
        <c:scaling>
          <c:orientation val="minMax"/>
        </c:scaling>
        <c:delete val="1"/>
        <c:axPos val="l"/>
        <c:majorTickMark val="none"/>
        <c:minorTickMark val="none"/>
        <c:tickLblPos val="nextTo"/>
        <c:crossAx val="1203109407"/>
        <c:crosses val="autoZero"/>
        <c:auto val="1"/>
        <c:lblAlgn val="ctr"/>
        <c:lblOffset val="100"/>
        <c:noMultiLvlLbl val="0"/>
      </c:catAx>
      <c:valAx>
        <c:axId val="1203109407"/>
        <c:scaling>
          <c:orientation val="minMax"/>
        </c:scaling>
        <c:delete val="1"/>
        <c:axPos val="b"/>
        <c:numFmt formatCode="0%" sourceLinked="1"/>
        <c:majorTickMark val="none"/>
        <c:minorTickMark val="none"/>
        <c:tickLblPos val="nextTo"/>
        <c:crossAx val="120311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284015844386325E-2"/>
          <c:y val="0.12010899056723584"/>
          <c:w val="0.88292395127055168"/>
          <c:h val="0.73326230511393631"/>
        </c:manualLayout>
      </c:layout>
      <c:barChart>
        <c:barDir val="bar"/>
        <c:grouping val="percentStacked"/>
        <c:varyColors val="0"/>
        <c:ser>
          <c:idx val="0"/>
          <c:order val="0"/>
          <c:spPr>
            <a:solidFill>
              <a:schemeClr val="accent2">
                <a:lumMod val="60000"/>
                <a:lumOff val="40000"/>
              </a:schemeClr>
            </a:solidFill>
            <a:ln>
              <a:noFill/>
            </a:ln>
            <a:effectLst/>
          </c:spPr>
          <c:invertIfNegative val="0"/>
          <c:val>
            <c:numRef>
              <c:f>PivotTables!$N$18</c:f>
              <c:numCache>
                <c:formatCode>0%</c:formatCode>
                <c:ptCount val="1"/>
                <c:pt idx="0">
                  <c:v>0.38</c:v>
                </c:pt>
              </c:numCache>
            </c:numRef>
          </c:val>
          <c:extLst>
            <c:ext xmlns:c16="http://schemas.microsoft.com/office/drawing/2014/chart" uri="{C3380CC4-5D6E-409C-BE32-E72D297353CC}">
              <c16:uniqueId val="{00000000-7CA2-4610-9D57-0EC3C6D8D73C}"/>
            </c:ext>
          </c:extLst>
        </c:ser>
        <c:ser>
          <c:idx val="1"/>
          <c:order val="1"/>
          <c:spPr>
            <a:solidFill>
              <a:schemeClr val="tx1">
                <a:lumMod val="95000"/>
                <a:lumOff val="5000"/>
              </a:schemeClr>
            </a:solidFill>
            <a:ln>
              <a:noFill/>
            </a:ln>
            <a:effectLst/>
          </c:spPr>
          <c:invertIfNegative val="0"/>
          <c:val>
            <c:numRef>
              <c:f>PivotTables!$O$18</c:f>
              <c:numCache>
                <c:formatCode>0%</c:formatCode>
                <c:ptCount val="1"/>
                <c:pt idx="0">
                  <c:v>0.62</c:v>
                </c:pt>
              </c:numCache>
            </c:numRef>
          </c:val>
          <c:extLst>
            <c:ext xmlns:c16="http://schemas.microsoft.com/office/drawing/2014/chart" uri="{C3380CC4-5D6E-409C-BE32-E72D297353CC}">
              <c16:uniqueId val="{00000001-7CA2-4610-9D57-0EC3C6D8D73C}"/>
            </c:ext>
          </c:extLst>
        </c:ser>
        <c:dLbls>
          <c:showLegendKey val="0"/>
          <c:showVal val="0"/>
          <c:showCatName val="0"/>
          <c:showSerName val="0"/>
          <c:showPercent val="0"/>
          <c:showBubbleSize val="0"/>
        </c:dLbls>
        <c:gapWidth val="150"/>
        <c:overlap val="100"/>
        <c:axId val="1415511151"/>
        <c:axId val="1415495791"/>
      </c:barChart>
      <c:catAx>
        <c:axId val="1415511151"/>
        <c:scaling>
          <c:orientation val="minMax"/>
        </c:scaling>
        <c:delete val="1"/>
        <c:axPos val="l"/>
        <c:majorTickMark val="none"/>
        <c:minorTickMark val="none"/>
        <c:tickLblPos val="nextTo"/>
        <c:crossAx val="1415495791"/>
        <c:crosses val="autoZero"/>
        <c:auto val="1"/>
        <c:lblAlgn val="ctr"/>
        <c:lblOffset val="100"/>
        <c:noMultiLvlLbl val="0"/>
      </c:catAx>
      <c:valAx>
        <c:axId val="1415495791"/>
        <c:scaling>
          <c:orientation val="minMax"/>
        </c:scaling>
        <c:delete val="1"/>
        <c:axPos val="b"/>
        <c:numFmt formatCode="0%" sourceLinked="1"/>
        <c:majorTickMark val="none"/>
        <c:minorTickMark val="none"/>
        <c:tickLblPos val="nextTo"/>
        <c:crossAx val="141551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65000"/>
              </a:schemeClr>
            </a:solidFill>
            <a:ln>
              <a:noFill/>
            </a:ln>
          </c:spPr>
          <c:dPt>
            <c:idx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1-82DD-48C7-B58B-6CC02D50D2C0}"/>
              </c:ext>
            </c:extLst>
          </c:dPt>
          <c:dPt>
            <c:idx val="1"/>
            <c:bubble3D val="0"/>
            <c:spPr>
              <a:solidFill>
                <a:schemeClr val="tx1">
                  <a:lumMod val="95000"/>
                  <a:lumOff val="5000"/>
                </a:schemeClr>
              </a:solidFill>
              <a:ln w="19050">
                <a:noFill/>
              </a:ln>
              <a:effectLst/>
            </c:spPr>
            <c:extLst>
              <c:ext xmlns:c16="http://schemas.microsoft.com/office/drawing/2014/chart" uri="{C3380CC4-5D6E-409C-BE32-E72D297353CC}">
                <c16:uniqueId val="{00000003-82DD-48C7-B58B-6CC02D50D2C0}"/>
              </c:ext>
            </c:extLst>
          </c:dPt>
          <c:val>
            <c:numRef>
              <c:f>PivotTables!$K$19:$L$19</c:f>
              <c:numCache>
                <c:formatCode>0%</c:formatCode>
                <c:ptCount val="2"/>
                <c:pt idx="0">
                  <c:v>0.48</c:v>
                </c:pt>
                <c:pt idx="1">
                  <c:v>0.52</c:v>
                </c:pt>
              </c:numCache>
            </c:numRef>
          </c:val>
          <c:extLst>
            <c:ext xmlns:c16="http://schemas.microsoft.com/office/drawing/2014/chart" uri="{C3380CC4-5D6E-409C-BE32-E72D297353CC}">
              <c16:uniqueId val="{00000004-82DD-48C7-B58B-6CC02D50D2C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2">
                <a:lumMod val="60000"/>
                <a:lumOff val="40000"/>
              </a:schemeClr>
            </a:solidFill>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1-275D-48FA-947D-F8DA9C8308F4}"/>
              </c:ext>
            </c:extLst>
          </c:dPt>
          <c:dPt>
            <c:idx val="1"/>
            <c:bubble3D val="0"/>
            <c:spPr>
              <a:solidFill>
                <a:schemeClr val="bg2">
                  <a:lumMod val="10000"/>
                </a:schemeClr>
              </a:solidFill>
              <a:ln w="19050">
                <a:noFill/>
              </a:ln>
              <a:effectLst/>
            </c:spPr>
            <c:extLst>
              <c:ext xmlns:c16="http://schemas.microsoft.com/office/drawing/2014/chart" uri="{C3380CC4-5D6E-409C-BE32-E72D297353CC}">
                <c16:uniqueId val="{00000003-275D-48FA-947D-F8DA9C8308F4}"/>
              </c:ext>
            </c:extLst>
          </c:dPt>
          <c:val>
            <c:numRef>
              <c:f>PivotTables!$K$20:$L$20</c:f>
              <c:numCache>
                <c:formatCode>0%</c:formatCode>
                <c:ptCount val="2"/>
                <c:pt idx="0">
                  <c:v>0.52</c:v>
                </c:pt>
                <c:pt idx="1">
                  <c:v>0.48</c:v>
                </c:pt>
              </c:numCache>
            </c:numRef>
          </c:val>
          <c:extLst>
            <c:ext xmlns:c16="http://schemas.microsoft.com/office/drawing/2014/chart" uri="{C3380CC4-5D6E-409C-BE32-E72D297353CC}">
              <c16:uniqueId val="{00000004-275D-48FA-947D-F8DA9C8308F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PivotTables!$E$19</c:f>
              <c:strCache>
                <c:ptCount val="1"/>
                <c:pt idx="0">
                  <c:v>Analyst</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PivotTables!$F$19</c:f>
              <c:numCache>
                <c:formatCode>_ * #,##0_ ;_ * \-#,##0_ ;_ * "-"??_ ;_ @_ </c:formatCode>
                <c:ptCount val="1"/>
                <c:pt idx="0">
                  <c:v>28</c:v>
                </c:pt>
              </c:numCache>
            </c:numRef>
          </c:val>
          <c:extLst>
            <c:ext xmlns:c16="http://schemas.microsoft.com/office/drawing/2014/chart" uri="{C3380CC4-5D6E-409C-BE32-E72D297353CC}">
              <c16:uniqueId val="{00000000-C336-4AE9-95C7-AFF3A35498C4}"/>
            </c:ext>
          </c:extLst>
        </c:ser>
        <c:ser>
          <c:idx val="1"/>
          <c:order val="1"/>
          <c:tx>
            <c:strRef>
              <c:f>PivotTables!$E$20</c:f>
              <c:strCache>
                <c:ptCount val="1"/>
                <c:pt idx="0">
                  <c:v>Designer</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PivotTables!$F$20</c:f>
              <c:numCache>
                <c:formatCode>_ * #,##0_ ;_ * \-#,##0_ ;_ * "-"??_ ;_ @_ </c:formatCode>
                <c:ptCount val="1"/>
                <c:pt idx="0">
                  <c:v>110</c:v>
                </c:pt>
              </c:numCache>
            </c:numRef>
          </c:val>
          <c:extLst>
            <c:ext xmlns:c16="http://schemas.microsoft.com/office/drawing/2014/chart" uri="{C3380CC4-5D6E-409C-BE32-E72D297353CC}">
              <c16:uniqueId val="{00000001-C336-4AE9-95C7-AFF3A35498C4}"/>
            </c:ext>
          </c:extLst>
        </c:ser>
        <c:ser>
          <c:idx val="2"/>
          <c:order val="2"/>
          <c:tx>
            <c:strRef>
              <c:f>PivotTables!$E$21</c:f>
              <c:strCache>
                <c:ptCount val="1"/>
                <c:pt idx="0">
                  <c:v>Developer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PivotTables!$F$21</c:f>
              <c:numCache>
                <c:formatCode>_ * #,##0_ ;_ * \-#,##0_ ;_ * "-"??_ ;_ @_ </c:formatCode>
                <c:ptCount val="1"/>
                <c:pt idx="0">
                  <c:v>104</c:v>
                </c:pt>
              </c:numCache>
            </c:numRef>
          </c:val>
          <c:extLst>
            <c:ext xmlns:c16="http://schemas.microsoft.com/office/drawing/2014/chart" uri="{C3380CC4-5D6E-409C-BE32-E72D297353CC}">
              <c16:uniqueId val="{00000002-C336-4AE9-95C7-AFF3A35498C4}"/>
            </c:ext>
          </c:extLst>
        </c:ser>
        <c:ser>
          <c:idx val="3"/>
          <c:order val="3"/>
          <c:tx>
            <c:strRef>
              <c:f>PivotTables!$E$22</c:f>
              <c:strCache>
                <c:ptCount val="1"/>
                <c:pt idx="0">
                  <c:v>HR Specialist</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PivotTables!$F$22</c:f>
              <c:numCache>
                <c:formatCode>_ * #,##0_ ;_ * \-#,##0_ ;_ * "-"??_ ;_ @_ </c:formatCode>
                <c:ptCount val="1"/>
                <c:pt idx="0">
                  <c:v>123</c:v>
                </c:pt>
              </c:numCache>
            </c:numRef>
          </c:val>
          <c:extLst>
            <c:ext xmlns:c16="http://schemas.microsoft.com/office/drawing/2014/chart" uri="{C3380CC4-5D6E-409C-BE32-E72D297353CC}">
              <c16:uniqueId val="{00000003-C336-4AE9-95C7-AFF3A35498C4}"/>
            </c:ext>
          </c:extLst>
        </c:ser>
        <c:ser>
          <c:idx val="4"/>
          <c:order val="4"/>
          <c:tx>
            <c:strRef>
              <c:f>PivotTables!$E$23</c:f>
              <c:strCache>
                <c:ptCount val="1"/>
                <c:pt idx="0">
                  <c:v>Manager</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PivotTables!$F$23</c:f>
              <c:numCache>
                <c:formatCode>_ * #,##0_ ;_ * \-#,##0_ ;_ * "-"??_ ;_ @_ </c:formatCode>
                <c:ptCount val="1"/>
                <c:pt idx="0">
                  <c:v>122</c:v>
                </c:pt>
              </c:numCache>
            </c:numRef>
          </c:val>
          <c:extLst>
            <c:ext xmlns:c16="http://schemas.microsoft.com/office/drawing/2014/chart" uri="{C3380CC4-5D6E-409C-BE32-E72D297353CC}">
              <c16:uniqueId val="{00000004-C336-4AE9-95C7-AFF3A35498C4}"/>
            </c:ext>
          </c:extLst>
        </c:ser>
        <c:dLbls>
          <c:showLegendKey val="0"/>
          <c:showVal val="0"/>
          <c:showCatName val="0"/>
          <c:showSerName val="0"/>
          <c:showPercent val="0"/>
          <c:showBubbleSize val="0"/>
        </c:dLbls>
        <c:gapWidth val="219"/>
        <c:overlap val="-27"/>
        <c:axId val="532431520"/>
        <c:axId val="532433920"/>
      </c:barChart>
      <c:catAx>
        <c:axId val="532431520"/>
        <c:scaling>
          <c:orientation val="minMax"/>
        </c:scaling>
        <c:delete val="1"/>
        <c:axPos val="b"/>
        <c:numFmt formatCode="General" sourceLinked="1"/>
        <c:majorTickMark val="none"/>
        <c:minorTickMark val="none"/>
        <c:tickLblPos val="nextTo"/>
        <c:crossAx val="532433920"/>
        <c:crosses val="autoZero"/>
        <c:auto val="1"/>
        <c:lblAlgn val="ctr"/>
        <c:lblOffset val="100"/>
        <c:noMultiLvlLbl val="0"/>
      </c:catAx>
      <c:valAx>
        <c:axId val="532433920"/>
        <c:scaling>
          <c:orientation val="minMax"/>
        </c:scaling>
        <c:delete val="1"/>
        <c:axPos val="l"/>
        <c:majorGridlines>
          <c:spPr>
            <a:ln w="12700" cap="flat" cmpd="sng" algn="ctr">
              <a:solidFill>
                <a:schemeClr val="accent2">
                  <a:lumMod val="60000"/>
                  <a:lumOff val="40000"/>
                  <a:alpha val="38000"/>
                </a:schemeClr>
              </a:solidFill>
              <a:prstDash val="dashDot"/>
              <a:round/>
            </a:ln>
            <a:effectLst/>
          </c:spPr>
        </c:majorGridlines>
        <c:numFmt formatCode="_ * #,##0_ ;_ * \-#,##0_ ;_ * &quot;-&quot;??_ ;_ @_ " sourceLinked="1"/>
        <c:majorTickMark val="none"/>
        <c:minorTickMark val="none"/>
        <c:tickLblPos val="nextTo"/>
        <c:crossAx val="532431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PivotTables!$T$11:$T$15</c:f>
              <c:strCache>
                <c:ptCount val="5"/>
                <c:pt idx="0">
                  <c:v>Central</c:v>
                </c:pt>
                <c:pt idx="1">
                  <c:v>East</c:v>
                </c:pt>
                <c:pt idx="2">
                  <c:v>North</c:v>
                </c:pt>
                <c:pt idx="3">
                  <c:v>South</c:v>
                </c:pt>
                <c:pt idx="4">
                  <c:v>West</c:v>
                </c:pt>
              </c:strCache>
            </c:strRef>
          </c:cat>
          <c:val>
            <c:numRef>
              <c:f>PivotTables!$U$11:$U$15</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E180-45A8-A0E3-D59DA060B3EC}"/>
            </c:ext>
          </c:extLst>
        </c:ser>
        <c:dLbls>
          <c:showLegendKey val="0"/>
          <c:showVal val="0"/>
          <c:showCatName val="0"/>
          <c:showSerName val="0"/>
          <c:showPercent val="0"/>
          <c:showBubbleSize val="0"/>
        </c:dLbls>
        <c:gapWidth val="25"/>
        <c:axId val="473108672"/>
        <c:axId val="473115392"/>
      </c:barChart>
      <c:catAx>
        <c:axId val="473108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473115392"/>
        <c:crosses val="autoZero"/>
        <c:auto val="1"/>
        <c:lblAlgn val="ctr"/>
        <c:lblOffset val="100"/>
        <c:noMultiLvlLbl val="0"/>
      </c:catAx>
      <c:valAx>
        <c:axId val="473115392"/>
        <c:scaling>
          <c:orientation val="minMax"/>
        </c:scaling>
        <c:delete val="1"/>
        <c:axPos val="b"/>
        <c:numFmt formatCode="General" sourceLinked="1"/>
        <c:majorTickMark val="none"/>
        <c:minorTickMark val="none"/>
        <c:tickLblPos val="nextTo"/>
        <c:crossAx val="47310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chart" Target="../charts/chart8.xml"/><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78418</xdr:colOff>
      <xdr:row>2</xdr:row>
      <xdr:rowOff>110646</xdr:rowOff>
    </xdr:from>
    <xdr:to>
      <xdr:col>20</xdr:col>
      <xdr:colOff>164143</xdr:colOff>
      <xdr:row>37</xdr:row>
      <xdr:rowOff>129696</xdr:rowOff>
    </xdr:to>
    <xdr:sp macro="" textlink="">
      <xdr:nvSpPr>
        <xdr:cNvPr id="2" name="Rectangle: Rounded Corners 1">
          <a:extLst>
            <a:ext uri="{FF2B5EF4-FFF2-40B4-BE49-F238E27FC236}">
              <a16:creationId xmlns:a16="http://schemas.microsoft.com/office/drawing/2014/main" id="{5E5DE75B-3B07-327D-389B-04AA565FEEE2}"/>
            </a:ext>
          </a:extLst>
        </xdr:cNvPr>
        <xdr:cNvSpPr/>
      </xdr:nvSpPr>
      <xdr:spPr>
        <a:xfrm>
          <a:off x="78418" y="110646"/>
          <a:ext cx="10416130" cy="6433354"/>
        </a:xfrm>
        <a:prstGeom prst="roundRect">
          <a:avLst>
            <a:gd name="adj" fmla="val 1675"/>
          </a:avLst>
        </a:prstGeom>
        <a:solidFill>
          <a:srgbClr val="1F1F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latin typeface="Kulim park"/>
          </a:endParaRPr>
        </a:p>
      </xdr:txBody>
    </xdr:sp>
    <xdr:clientData/>
  </xdr:twoCellAnchor>
  <xdr:twoCellAnchor>
    <xdr:from>
      <xdr:col>3</xdr:col>
      <xdr:colOff>314324</xdr:colOff>
      <xdr:row>26</xdr:row>
      <xdr:rowOff>0</xdr:rowOff>
    </xdr:from>
    <xdr:to>
      <xdr:col>6</xdr:col>
      <xdr:colOff>393524</xdr:colOff>
      <xdr:row>35</xdr:row>
      <xdr:rowOff>171225</xdr:rowOff>
    </xdr:to>
    <xdr:sp macro="" textlink="">
      <xdr:nvSpPr>
        <xdr:cNvPr id="5" name="Rectangle: Rounded Corners 4">
          <a:extLst>
            <a:ext uri="{FF2B5EF4-FFF2-40B4-BE49-F238E27FC236}">
              <a16:creationId xmlns:a16="http://schemas.microsoft.com/office/drawing/2014/main" id="{1D68A0E8-B35C-BF1D-5E77-75618F34FB40}"/>
            </a:ext>
          </a:extLst>
        </xdr:cNvPr>
        <xdr:cNvSpPr/>
      </xdr:nvSpPr>
      <xdr:spPr>
        <a:xfrm>
          <a:off x="2132107" y="4773976"/>
          <a:ext cx="1896983" cy="1823755"/>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3</xdr:col>
      <xdr:colOff>284634</xdr:colOff>
      <xdr:row>8</xdr:row>
      <xdr:rowOff>158338</xdr:rowOff>
    </xdr:from>
    <xdr:to>
      <xdr:col>6</xdr:col>
      <xdr:colOff>392167</xdr:colOff>
      <xdr:row>25</xdr:row>
      <xdr:rowOff>82504</xdr:rowOff>
    </xdr:to>
    <xdr:sp macro="" textlink="">
      <xdr:nvSpPr>
        <xdr:cNvPr id="8" name="Rectangle: Rounded Corners 7">
          <a:extLst>
            <a:ext uri="{FF2B5EF4-FFF2-40B4-BE49-F238E27FC236}">
              <a16:creationId xmlns:a16="http://schemas.microsoft.com/office/drawing/2014/main" id="{B2F8C6B3-8F7F-9EC9-AE57-EFC03966F34B}"/>
            </a:ext>
          </a:extLst>
        </xdr:cNvPr>
        <xdr:cNvSpPr/>
      </xdr:nvSpPr>
      <xdr:spPr>
        <a:xfrm>
          <a:off x="284634" y="1251642"/>
          <a:ext cx="1937990" cy="3021862"/>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6</xdr:col>
      <xdr:colOff>495299</xdr:colOff>
      <xdr:row>23</xdr:row>
      <xdr:rowOff>21975</xdr:rowOff>
    </xdr:from>
    <xdr:to>
      <xdr:col>10</xdr:col>
      <xdr:colOff>504899</xdr:colOff>
      <xdr:row>36</xdr:row>
      <xdr:rowOff>9300</xdr:rowOff>
    </xdr:to>
    <xdr:sp macro="" textlink="">
      <xdr:nvSpPr>
        <xdr:cNvPr id="13" name="Rectangle: Rounded Corners 12">
          <a:extLst>
            <a:ext uri="{FF2B5EF4-FFF2-40B4-BE49-F238E27FC236}">
              <a16:creationId xmlns:a16="http://schemas.microsoft.com/office/drawing/2014/main" id="{1C51CC48-C25C-B73C-21DA-8906EDF683D0}"/>
            </a:ext>
          </a:extLst>
        </xdr:cNvPr>
        <xdr:cNvSpPr/>
      </xdr:nvSpPr>
      <xdr:spPr>
        <a:xfrm>
          <a:off x="2324099" y="3822450"/>
          <a:ext cx="2448000" cy="2340000"/>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6</xdr:col>
      <xdr:colOff>547491</xdr:colOff>
      <xdr:row>9</xdr:row>
      <xdr:rowOff>10438</xdr:rowOff>
    </xdr:from>
    <xdr:to>
      <xdr:col>10</xdr:col>
      <xdr:colOff>557091</xdr:colOff>
      <xdr:row>15</xdr:row>
      <xdr:rowOff>115213</xdr:rowOff>
    </xdr:to>
    <xdr:sp macro="" textlink="">
      <xdr:nvSpPr>
        <xdr:cNvPr id="18" name="Rectangle: Rounded Corners 17">
          <a:extLst>
            <a:ext uri="{FF2B5EF4-FFF2-40B4-BE49-F238E27FC236}">
              <a16:creationId xmlns:a16="http://schemas.microsoft.com/office/drawing/2014/main" id="{5C6A3DF9-32F6-6D25-C4BB-FB767A1B439E}"/>
            </a:ext>
          </a:extLst>
        </xdr:cNvPr>
        <xdr:cNvSpPr/>
      </xdr:nvSpPr>
      <xdr:spPr>
        <a:xfrm>
          <a:off x="2363765" y="1325671"/>
          <a:ext cx="2431299" cy="1232117"/>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11</xdr:col>
      <xdr:colOff>28649</xdr:colOff>
      <xdr:row>22</xdr:row>
      <xdr:rowOff>171450</xdr:rowOff>
    </xdr:from>
    <xdr:to>
      <xdr:col>15</xdr:col>
      <xdr:colOff>38249</xdr:colOff>
      <xdr:row>35</xdr:row>
      <xdr:rowOff>158775</xdr:rowOff>
    </xdr:to>
    <xdr:sp macro="" textlink="">
      <xdr:nvSpPr>
        <xdr:cNvPr id="19" name="Rectangle: Rounded Corners 18">
          <a:extLst>
            <a:ext uri="{FF2B5EF4-FFF2-40B4-BE49-F238E27FC236}">
              <a16:creationId xmlns:a16="http://schemas.microsoft.com/office/drawing/2014/main" id="{ABF5EFDC-59C8-280B-7FC1-37C1EE9AD486}"/>
            </a:ext>
          </a:extLst>
        </xdr:cNvPr>
        <xdr:cNvSpPr/>
      </xdr:nvSpPr>
      <xdr:spPr>
        <a:xfrm>
          <a:off x="4937117" y="3734047"/>
          <a:ext cx="2463833" cy="2303014"/>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10</xdr:col>
      <xdr:colOff>600000</xdr:colOff>
      <xdr:row>9</xdr:row>
      <xdr:rowOff>0</xdr:rowOff>
    </xdr:from>
    <xdr:to>
      <xdr:col>15</xdr:col>
      <xdr:colOff>0</xdr:colOff>
      <xdr:row>22</xdr:row>
      <xdr:rowOff>51300</xdr:rowOff>
    </xdr:to>
    <xdr:sp macro="" textlink="">
      <xdr:nvSpPr>
        <xdr:cNvPr id="20" name="Rectangle: Rounded Corners 19">
          <a:extLst>
            <a:ext uri="{FF2B5EF4-FFF2-40B4-BE49-F238E27FC236}">
              <a16:creationId xmlns:a16="http://schemas.microsoft.com/office/drawing/2014/main" id="{72B2F7DC-E167-A102-6F13-07521CB0B952}"/>
            </a:ext>
          </a:extLst>
        </xdr:cNvPr>
        <xdr:cNvSpPr/>
      </xdr:nvSpPr>
      <xdr:spPr>
        <a:xfrm>
          <a:off x="4839846" y="1299308"/>
          <a:ext cx="2428462" cy="2464300"/>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6</xdr:col>
      <xdr:colOff>495299</xdr:colOff>
      <xdr:row>16</xdr:row>
      <xdr:rowOff>57149</xdr:rowOff>
    </xdr:from>
    <xdr:to>
      <xdr:col>8</xdr:col>
      <xdr:colOff>446099</xdr:colOff>
      <xdr:row>22</xdr:row>
      <xdr:rowOff>51299</xdr:rowOff>
    </xdr:to>
    <xdr:sp macro="" textlink="">
      <xdr:nvSpPr>
        <xdr:cNvPr id="21" name="Rectangle: Rounded Corners 20">
          <a:extLst>
            <a:ext uri="{FF2B5EF4-FFF2-40B4-BE49-F238E27FC236}">
              <a16:creationId xmlns:a16="http://schemas.microsoft.com/office/drawing/2014/main" id="{1E2D1AF0-2729-9764-ECDC-451746EC3CF2}"/>
            </a:ext>
          </a:extLst>
        </xdr:cNvPr>
        <xdr:cNvSpPr/>
      </xdr:nvSpPr>
      <xdr:spPr>
        <a:xfrm>
          <a:off x="2324099" y="2590799"/>
          <a:ext cx="1170000" cy="1080000"/>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8</xdr:col>
      <xdr:colOff>552449</xdr:colOff>
      <xdr:row>16</xdr:row>
      <xdr:rowOff>57149</xdr:rowOff>
    </xdr:from>
    <xdr:to>
      <xdr:col>10</xdr:col>
      <xdr:colOff>503249</xdr:colOff>
      <xdr:row>22</xdr:row>
      <xdr:rowOff>51299</xdr:rowOff>
    </xdr:to>
    <xdr:sp macro="" textlink="">
      <xdr:nvSpPr>
        <xdr:cNvPr id="22" name="Rectangle: Rounded Corners 21">
          <a:extLst>
            <a:ext uri="{FF2B5EF4-FFF2-40B4-BE49-F238E27FC236}">
              <a16:creationId xmlns:a16="http://schemas.microsoft.com/office/drawing/2014/main" id="{3ADB5113-2C76-B931-140F-4FD341644E7C}"/>
            </a:ext>
          </a:extLst>
        </xdr:cNvPr>
        <xdr:cNvSpPr/>
      </xdr:nvSpPr>
      <xdr:spPr>
        <a:xfrm>
          <a:off x="3600449" y="2590799"/>
          <a:ext cx="1170000" cy="1080000"/>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15</xdr:col>
      <xdr:colOff>233328</xdr:colOff>
      <xdr:row>29</xdr:row>
      <xdr:rowOff>38100</xdr:rowOff>
    </xdr:from>
    <xdr:to>
      <xdr:col>17</xdr:col>
      <xdr:colOff>298197</xdr:colOff>
      <xdr:row>35</xdr:row>
      <xdr:rowOff>161074</xdr:rowOff>
    </xdr:to>
    <xdr:sp macro="" textlink="">
      <xdr:nvSpPr>
        <xdr:cNvPr id="27" name="Rectangle: Rounded Corners 26">
          <a:extLst>
            <a:ext uri="{FF2B5EF4-FFF2-40B4-BE49-F238E27FC236}">
              <a16:creationId xmlns:a16="http://schemas.microsoft.com/office/drawing/2014/main" id="{C448700D-368C-9E66-87F9-195B3FF22C2A}"/>
            </a:ext>
          </a:extLst>
        </xdr:cNvPr>
        <xdr:cNvSpPr/>
      </xdr:nvSpPr>
      <xdr:spPr>
        <a:xfrm>
          <a:off x="7548528" y="4924425"/>
          <a:ext cx="1284069" cy="1208824"/>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17</xdr:col>
      <xdr:colOff>401860</xdr:colOff>
      <xdr:row>29</xdr:row>
      <xdr:rowOff>47625</xdr:rowOff>
    </xdr:from>
    <xdr:to>
      <xdr:col>19</xdr:col>
      <xdr:colOff>466729</xdr:colOff>
      <xdr:row>35</xdr:row>
      <xdr:rowOff>171447</xdr:rowOff>
    </xdr:to>
    <xdr:sp macro="" textlink="">
      <xdr:nvSpPr>
        <xdr:cNvPr id="28" name="Rectangle: Rounded Corners 27">
          <a:extLst>
            <a:ext uri="{FF2B5EF4-FFF2-40B4-BE49-F238E27FC236}">
              <a16:creationId xmlns:a16="http://schemas.microsoft.com/office/drawing/2014/main" id="{447413E7-C480-3AA9-1E54-E2B9618C2FC0}"/>
            </a:ext>
          </a:extLst>
        </xdr:cNvPr>
        <xdr:cNvSpPr/>
      </xdr:nvSpPr>
      <xdr:spPr>
        <a:xfrm>
          <a:off x="8936260" y="4933950"/>
          <a:ext cx="1284069" cy="1209672"/>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17</xdr:col>
      <xdr:colOff>401860</xdr:colOff>
      <xdr:row>22</xdr:row>
      <xdr:rowOff>0</xdr:rowOff>
    </xdr:from>
    <xdr:to>
      <xdr:col>19</xdr:col>
      <xdr:colOff>466729</xdr:colOff>
      <xdr:row>28</xdr:row>
      <xdr:rowOff>111599</xdr:rowOff>
    </xdr:to>
    <xdr:sp macro="" textlink="">
      <xdr:nvSpPr>
        <xdr:cNvPr id="29" name="Rectangle: Rounded Corners 28">
          <a:extLst>
            <a:ext uri="{FF2B5EF4-FFF2-40B4-BE49-F238E27FC236}">
              <a16:creationId xmlns:a16="http://schemas.microsoft.com/office/drawing/2014/main" id="{F0B397E1-8EFC-9AAF-CB68-53079DD021F4}"/>
            </a:ext>
          </a:extLst>
        </xdr:cNvPr>
        <xdr:cNvSpPr/>
      </xdr:nvSpPr>
      <xdr:spPr>
        <a:xfrm>
          <a:off x="8936260" y="3619500"/>
          <a:ext cx="1284069" cy="1197449"/>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15</xdr:col>
      <xdr:colOff>119891</xdr:colOff>
      <xdr:row>12</xdr:row>
      <xdr:rowOff>47626</xdr:rowOff>
    </xdr:from>
    <xdr:to>
      <xdr:col>20</xdr:col>
      <xdr:colOff>14967</xdr:colOff>
      <xdr:row>19</xdr:row>
      <xdr:rowOff>152401</xdr:rowOff>
    </xdr:to>
    <xdr:sp macro="" textlink="">
      <xdr:nvSpPr>
        <xdr:cNvPr id="31" name="Rectangle: Rounded Corners 30">
          <a:extLst>
            <a:ext uri="{FF2B5EF4-FFF2-40B4-BE49-F238E27FC236}">
              <a16:creationId xmlns:a16="http://schemas.microsoft.com/office/drawing/2014/main" id="{500F0EE8-A602-09C3-5E52-6029A67D1EAC}"/>
            </a:ext>
          </a:extLst>
        </xdr:cNvPr>
        <xdr:cNvSpPr/>
      </xdr:nvSpPr>
      <xdr:spPr>
        <a:xfrm>
          <a:off x="7435091" y="1898197"/>
          <a:ext cx="2943076" cy="1400175"/>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15</xdr:col>
      <xdr:colOff>119892</xdr:colOff>
      <xdr:row>3</xdr:row>
      <xdr:rowOff>160200</xdr:rowOff>
    </xdr:from>
    <xdr:to>
      <xdr:col>20</xdr:col>
      <xdr:colOff>5444</xdr:colOff>
      <xdr:row>11</xdr:row>
      <xdr:rowOff>152400</xdr:rowOff>
    </xdr:to>
    <xdr:sp macro="" textlink="">
      <xdr:nvSpPr>
        <xdr:cNvPr id="32" name="Rectangle: Rounded Corners 31">
          <a:extLst>
            <a:ext uri="{FF2B5EF4-FFF2-40B4-BE49-F238E27FC236}">
              <a16:creationId xmlns:a16="http://schemas.microsoft.com/office/drawing/2014/main" id="{5985E86B-F3AF-A61D-A878-0F62485C861E}"/>
            </a:ext>
          </a:extLst>
        </xdr:cNvPr>
        <xdr:cNvSpPr/>
      </xdr:nvSpPr>
      <xdr:spPr>
        <a:xfrm>
          <a:off x="7435092" y="345257"/>
          <a:ext cx="2933552" cy="1472657"/>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3"/>
            </a:solidFill>
            <a:latin typeface="Kulim park"/>
          </a:endParaRPr>
        </a:p>
      </xdr:txBody>
    </xdr:sp>
    <xdr:clientData/>
  </xdr:twoCellAnchor>
  <xdr:oneCellAnchor>
    <xdr:from>
      <xdr:col>17</xdr:col>
      <xdr:colOff>409575</xdr:colOff>
      <xdr:row>22</xdr:row>
      <xdr:rowOff>9525</xdr:rowOff>
    </xdr:from>
    <xdr:ext cx="804259" cy="655949"/>
    <xdr:sp macro="" textlink="">
      <xdr:nvSpPr>
        <xdr:cNvPr id="36" name="TextBox 35">
          <a:extLst>
            <a:ext uri="{FF2B5EF4-FFF2-40B4-BE49-F238E27FC236}">
              <a16:creationId xmlns:a16="http://schemas.microsoft.com/office/drawing/2014/main" id="{F8F2BBF3-E87C-86F8-5A56-649FCD6B1839}"/>
            </a:ext>
          </a:extLst>
        </xdr:cNvPr>
        <xdr:cNvSpPr txBox="1"/>
      </xdr:nvSpPr>
      <xdr:spPr>
        <a:xfrm>
          <a:off x="8943975" y="3629025"/>
          <a:ext cx="804259"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2"/>
              </a:solidFill>
              <a:latin typeface="Kulim park"/>
            </a:rPr>
            <a:t>Part</a:t>
          </a:r>
        </a:p>
        <a:p>
          <a:r>
            <a:rPr lang="en-IN" sz="1200">
              <a:solidFill>
                <a:schemeClr val="bg2"/>
              </a:solidFill>
              <a:latin typeface="Kulim park"/>
            </a:rPr>
            <a:t>time</a:t>
          </a:r>
        </a:p>
        <a:p>
          <a:r>
            <a:rPr lang="en-IN" sz="1200">
              <a:solidFill>
                <a:schemeClr val="bg2"/>
              </a:solidFill>
              <a:latin typeface="Kulim park"/>
            </a:rPr>
            <a:t>employee</a:t>
          </a:r>
        </a:p>
      </xdr:txBody>
    </xdr:sp>
    <xdr:clientData/>
  </xdr:oneCellAnchor>
  <xdr:twoCellAnchor>
    <xdr:from>
      <xdr:col>18</xdr:col>
      <xdr:colOff>432784</xdr:colOff>
      <xdr:row>32</xdr:row>
      <xdr:rowOff>135074</xdr:rowOff>
    </xdr:from>
    <xdr:to>
      <xdr:col>19</xdr:col>
      <xdr:colOff>432784</xdr:colOff>
      <xdr:row>35</xdr:row>
      <xdr:rowOff>135074</xdr:rowOff>
    </xdr:to>
    <xdr:sp macro="" textlink="PivotTables!C11">
      <xdr:nvSpPr>
        <xdr:cNvPr id="38" name="TextBox 37">
          <a:extLst>
            <a:ext uri="{FF2B5EF4-FFF2-40B4-BE49-F238E27FC236}">
              <a16:creationId xmlns:a16="http://schemas.microsoft.com/office/drawing/2014/main" id="{41AC22F7-6B42-516B-7123-9E5E4E38CED4}"/>
            </a:ext>
          </a:extLst>
        </xdr:cNvPr>
        <xdr:cNvSpPr txBox="1"/>
      </xdr:nvSpPr>
      <xdr:spPr>
        <a:xfrm>
          <a:off x="9576784" y="5564324"/>
          <a:ext cx="609600" cy="542925"/>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E9BAF6-779C-498B-8761-B65125186358}" type="TxLink">
            <a:rPr lang="en-US" sz="3200" b="0" i="0" u="none" strike="noStrike">
              <a:solidFill>
                <a:schemeClr val="bg1"/>
              </a:solidFill>
              <a:latin typeface="Kulim park"/>
            </a:rPr>
            <a:pPr/>
            <a:t>20</a:t>
          </a:fld>
          <a:endParaRPr lang="en-IN" sz="23900">
            <a:solidFill>
              <a:schemeClr val="bg1"/>
            </a:solidFill>
            <a:latin typeface="Kulim park"/>
          </a:endParaRPr>
        </a:p>
      </xdr:txBody>
    </xdr:sp>
    <xdr:clientData/>
  </xdr:twoCellAnchor>
  <xdr:oneCellAnchor>
    <xdr:from>
      <xdr:col>17</xdr:col>
      <xdr:colOff>438150</xdr:colOff>
      <xdr:row>29</xdr:row>
      <xdr:rowOff>71400</xdr:rowOff>
    </xdr:from>
    <xdr:ext cx="804259" cy="655949"/>
    <xdr:sp macro="" textlink="">
      <xdr:nvSpPr>
        <xdr:cNvPr id="39" name="TextBox 38">
          <a:extLst>
            <a:ext uri="{FF2B5EF4-FFF2-40B4-BE49-F238E27FC236}">
              <a16:creationId xmlns:a16="http://schemas.microsoft.com/office/drawing/2014/main" id="{FC846804-0BD4-4354-8FEE-C138B7286EFC}"/>
            </a:ext>
          </a:extLst>
        </xdr:cNvPr>
        <xdr:cNvSpPr txBox="1"/>
      </xdr:nvSpPr>
      <xdr:spPr>
        <a:xfrm>
          <a:off x="8972550" y="4957725"/>
          <a:ext cx="804259"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1"/>
              </a:solidFill>
              <a:latin typeface="Kulim park"/>
            </a:rPr>
            <a:t>Full</a:t>
          </a:r>
        </a:p>
        <a:p>
          <a:r>
            <a:rPr lang="en-IN" sz="1200">
              <a:solidFill>
                <a:schemeClr val="bg1"/>
              </a:solidFill>
              <a:latin typeface="Kulim park"/>
            </a:rPr>
            <a:t>time</a:t>
          </a:r>
        </a:p>
        <a:p>
          <a:r>
            <a:rPr lang="en-IN" sz="1200">
              <a:solidFill>
                <a:schemeClr val="bg1"/>
              </a:solidFill>
              <a:latin typeface="Kulim park"/>
            </a:rPr>
            <a:t>employee</a:t>
          </a:r>
        </a:p>
      </xdr:txBody>
    </xdr:sp>
    <xdr:clientData/>
  </xdr:oneCellAnchor>
  <xdr:twoCellAnchor>
    <xdr:from>
      <xdr:col>18</xdr:col>
      <xdr:colOff>451834</xdr:colOff>
      <xdr:row>25</xdr:row>
      <xdr:rowOff>84449</xdr:rowOff>
    </xdr:from>
    <xdr:to>
      <xdr:col>19</xdr:col>
      <xdr:colOff>451834</xdr:colOff>
      <xdr:row>28</xdr:row>
      <xdr:rowOff>84449</xdr:rowOff>
    </xdr:to>
    <xdr:sp macro="" textlink="PivotTables!C12">
      <xdr:nvSpPr>
        <xdr:cNvPr id="40" name="TextBox 39">
          <a:extLst>
            <a:ext uri="{FF2B5EF4-FFF2-40B4-BE49-F238E27FC236}">
              <a16:creationId xmlns:a16="http://schemas.microsoft.com/office/drawing/2014/main" id="{1AC02051-67C8-445F-A61A-97055CB6CF44}"/>
            </a:ext>
          </a:extLst>
        </xdr:cNvPr>
        <xdr:cNvSpPr txBox="1"/>
      </xdr:nvSpPr>
      <xdr:spPr>
        <a:xfrm>
          <a:off x="9595834" y="4246874"/>
          <a:ext cx="609600" cy="542925"/>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4877FC-2DFC-496C-93D7-359BD0B4C634}" type="TxLink">
            <a:rPr lang="en-US" sz="3200" b="0" i="0" u="none" strike="noStrike">
              <a:solidFill>
                <a:schemeClr val="bg1"/>
              </a:solidFill>
              <a:latin typeface="Kulim park"/>
            </a:rPr>
            <a:pPr/>
            <a:t>13</a:t>
          </a:fld>
          <a:endParaRPr lang="en-IN" sz="3200">
            <a:solidFill>
              <a:schemeClr val="bg1"/>
            </a:solidFill>
            <a:latin typeface="Kulim park"/>
          </a:endParaRPr>
        </a:p>
      </xdr:txBody>
    </xdr:sp>
    <xdr:clientData/>
  </xdr:twoCellAnchor>
  <xdr:oneCellAnchor>
    <xdr:from>
      <xdr:col>15</xdr:col>
      <xdr:colOff>233325</xdr:colOff>
      <xdr:row>29</xdr:row>
      <xdr:rowOff>52350</xdr:rowOff>
    </xdr:from>
    <xdr:ext cx="1080484" cy="655949"/>
    <xdr:sp macro="" textlink="">
      <xdr:nvSpPr>
        <xdr:cNvPr id="41" name="TextBox 40">
          <a:extLst>
            <a:ext uri="{FF2B5EF4-FFF2-40B4-BE49-F238E27FC236}">
              <a16:creationId xmlns:a16="http://schemas.microsoft.com/office/drawing/2014/main" id="{65DB65C3-D165-E1FD-4B10-006201DB0F41}"/>
            </a:ext>
          </a:extLst>
        </xdr:cNvPr>
        <xdr:cNvSpPr txBox="1"/>
      </xdr:nvSpPr>
      <xdr:spPr>
        <a:xfrm>
          <a:off x="7548525" y="4938675"/>
          <a:ext cx="1080484"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solidFill>
                <a:schemeClr val="bg1"/>
              </a:solidFill>
              <a:latin typeface="Kulim park"/>
            </a:rPr>
            <a:t>Employees </a:t>
          </a:r>
        </a:p>
        <a:p>
          <a:r>
            <a:rPr lang="en-IN" sz="1200">
              <a:solidFill>
                <a:schemeClr val="bg1"/>
              </a:solidFill>
              <a:latin typeface="Kulim park"/>
            </a:rPr>
            <a:t>with</a:t>
          </a:r>
          <a:r>
            <a:rPr lang="en-IN" sz="1200" baseline="0">
              <a:solidFill>
                <a:schemeClr val="bg1"/>
              </a:solidFill>
              <a:latin typeface="Kulim park"/>
            </a:rPr>
            <a:t> </a:t>
          </a:r>
        </a:p>
        <a:p>
          <a:r>
            <a:rPr lang="en-IN" sz="1200" baseline="0">
              <a:solidFill>
                <a:schemeClr val="bg1"/>
              </a:solidFill>
              <a:latin typeface="Kulim park"/>
            </a:rPr>
            <a:t>Contract</a:t>
          </a:r>
          <a:endParaRPr lang="en-IN" sz="1200">
            <a:solidFill>
              <a:schemeClr val="bg1"/>
            </a:solidFill>
            <a:latin typeface="Kulim park"/>
          </a:endParaRPr>
        </a:p>
      </xdr:txBody>
    </xdr:sp>
    <xdr:clientData/>
  </xdr:oneCellAnchor>
  <xdr:twoCellAnchor>
    <xdr:from>
      <xdr:col>16</xdr:col>
      <xdr:colOff>276225</xdr:colOff>
      <xdr:row>32</xdr:row>
      <xdr:rowOff>135074</xdr:rowOff>
    </xdr:from>
    <xdr:to>
      <xdr:col>17</xdr:col>
      <xdr:colOff>276225</xdr:colOff>
      <xdr:row>35</xdr:row>
      <xdr:rowOff>135074</xdr:rowOff>
    </xdr:to>
    <xdr:sp macro="" textlink="PivotTables!C10">
      <xdr:nvSpPr>
        <xdr:cNvPr id="42" name="TextBox 41">
          <a:extLst>
            <a:ext uri="{FF2B5EF4-FFF2-40B4-BE49-F238E27FC236}">
              <a16:creationId xmlns:a16="http://schemas.microsoft.com/office/drawing/2014/main" id="{350C3D3E-D759-EEC7-C2B0-7AB5059B4134}"/>
            </a:ext>
          </a:extLst>
        </xdr:cNvPr>
        <xdr:cNvSpPr txBox="1"/>
      </xdr:nvSpPr>
      <xdr:spPr>
        <a:xfrm>
          <a:off x="8201025" y="5564324"/>
          <a:ext cx="609600" cy="542925"/>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913D06-2EB9-4328-9BAA-31A02E2A6DCF}" type="TxLink">
            <a:rPr lang="en-US" sz="3200" b="0" i="0" u="none" strike="noStrike">
              <a:solidFill>
                <a:schemeClr val="bg1"/>
              </a:solidFill>
              <a:latin typeface="Kulim park"/>
            </a:rPr>
            <a:pPr/>
            <a:t>17</a:t>
          </a:fld>
          <a:endParaRPr lang="en-IN" sz="102800">
            <a:solidFill>
              <a:schemeClr val="bg1"/>
            </a:solidFill>
            <a:latin typeface="Kulim park"/>
          </a:endParaRPr>
        </a:p>
      </xdr:txBody>
    </xdr:sp>
    <xdr:clientData/>
  </xdr:twoCellAnchor>
  <xdr:oneCellAnchor>
    <xdr:from>
      <xdr:col>11</xdr:col>
      <xdr:colOff>209550</xdr:colOff>
      <xdr:row>25</xdr:row>
      <xdr:rowOff>151124</xdr:rowOff>
    </xdr:from>
    <xdr:ext cx="1039195" cy="280205"/>
    <xdr:sp macro="" textlink="">
      <xdr:nvSpPr>
        <xdr:cNvPr id="43" name="TextBox 42">
          <a:extLst>
            <a:ext uri="{FF2B5EF4-FFF2-40B4-BE49-F238E27FC236}">
              <a16:creationId xmlns:a16="http://schemas.microsoft.com/office/drawing/2014/main" id="{4E62CE35-D584-E7B3-2D28-1ADBCDDC58DF}"/>
            </a:ext>
          </a:extLst>
        </xdr:cNvPr>
        <xdr:cNvSpPr txBox="1"/>
      </xdr:nvSpPr>
      <xdr:spPr>
        <a:xfrm>
          <a:off x="5086350" y="4313549"/>
          <a:ext cx="103919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2"/>
              </a:solidFill>
              <a:latin typeface="Kulim park"/>
            </a:rPr>
            <a:t>Total</a:t>
          </a:r>
          <a:r>
            <a:rPr lang="en-IN" sz="1200" b="1" baseline="0">
              <a:solidFill>
                <a:schemeClr val="bg2"/>
              </a:solidFill>
              <a:latin typeface="Kulim park"/>
            </a:rPr>
            <a:t> Salaries</a:t>
          </a:r>
          <a:endParaRPr lang="en-IN" sz="1200" b="1">
            <a:solidFill>
              <a:schemeClr val="bg2"/>
            </a:solidFill>
            <a:latin typeface="Kulim park"/>
          </a:endParaRPr>
        </a:p>
      </xdr:txBody>
    </xdr:sp>
    <xdr:clientData/>
  </xdr:oneCellAnchor>
  <xdr:oneCellAnchor>
    <xdr:from>
      <xdr:col>11</xdr:col>
      <xdr:colOff>209550</xdr:colOff>
      <xdr:row>27</xdr:row>
      <xdr:rowOff>51523</xdr:rowOff>
    </xdr:from>
    <xdr:ext cx="807465" cy="280205"/>
    <xdr:sp macro="" textlink="">
      <xdr:nvSpPr>
        <xdr:cNvPr id="44" name="TextBox 43">
          <a:extLst>
            <a:ext uri="{FF2B5EF4-FFF2-40B4-BE49-F238E27FC236}">
              <a16:creationId xmlns:a16="http://schemas.microsoft.com/office/drawing/2014/main" id="{07925385-FB0A-33FF-08C5-53919F042F1E}"/>
            </a:ext>
          </a:extLst>
        </xdr:cNvPr>
        <xdr:cNvSpPr txBox="1"/>
      </xdr:nvSpPr>
      <xdr:spPr>
        <a:xfrm>
          <a:off x="5086350" y="4575898"/>
          <a:ext cx="80746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2"/>
              </a:solidFill>
              <a:latin typeface="Kulim park"/>
            </a:rPr>
            <a:t>Managers</a:t>
          </a:r>
        </a:p>
      </xdr:txBody>
    </xdr:sp>
    <xdr:clientData/>
  </xdr:oneCellAnchor>
  <xdr:oneCellAnchor>
    <xdr:from>
      <xdr:col>11</xdr:col>
      <xdr:colOff>203601</xdr:colOff>
      <xdr:row>28</xdr:row>
      <xdr:rowOff>132897</xdr:rowOff>
    </xdr:from>
    <xdr:ext cx="970074" cy="280205"/>
    <xdr:sp macro="" textlink="">
      <xdr:nvSpPr>
        <xdr:cNvPr id="45" name="TextBox 44">
          <a:extLst>
            <a:ext uri="{FF2B5EF4-FFF2-40B4-BE49-F238E27FC236}">
              <a16:creationId xmlns:a16="http://schemas.microsoft.com/office/drawing/2014/main" id="{F738EA21-5673-871F-1B9C-0BAA857D5413}"/>
            </a:ext>
          </a:extLst>
        </xdr:cNvPr>
        <xdr:cNvSpPr txBox="1"/>
      </xdr:nvSpPr>
      <xdr:spPr>
        <a:xfrm>
          <a:off x="5080401" y="4838247"/>
          <a:ext cx="97007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2"/>
              </a:solidFill>
              <a:latin typeface="Kulim park"/>
            </a:rPr>
            <a:t>HR</a:t>
          </a:r>
          <a:r>
            <a:rPr lang="en-IN" sz="1200" baseline="0">
              <a:solidFill>
                <a:schemeClr val="bg2"/>
              </a:solidFill>
              <a:latin typeface="Kulim park"/>
            </a:rPr>
            <a:t> Specilists</a:t>
          </a:r>
          <a:endParaRPr lang="en-IN" sz="1200">
            <a:solidFill>
              <a:schemeClr val="bg2"/>
            </a:solidFill>
            <a:latin typeface="Kulim park"/>
          </a:endParaRPr>
        </a:p>
      </xdr:txBody>
    </xdr:sp>
    <xdr:clientData/>
  </xdr:oneCellAnchor>
  <xdr:oneCellAnchor>
    <xdr:from>
      <xdr:col>11</xdr:col>
      <xdr:colOff>203601</xdr:colOff>
      <xdr:row>30</xdr:row>
      <xdr:rowOff>33296</xdr:rowOff>
    </xdr:from>
    <xdr:ext cx="889795" cy="280205"/>
    <xdr:sp macro="" textlink="">
      <xdr:nvSpPr>
        <xdr:cNvPr id="54" name="TextBox 53">
          <a:extLst>
            <a:ext uri="{FF2B5EF4-FFF2-40B4-BE49-F238E27FC236}">
              <a16:creationId xmlns:a16="http://schemas.microsoft.com/office/drawing/2014/main" id="{904866BC-5933-C846-8699-5862387BC708}"/>
            </a:ext>
          </a:extLst>
        </xdr:cNvPr>
        <xdr:cNvSpPr txBox="1"/>
      </xdr:nvSpPr>
      <xdr:spPr>
        <a:xfrm>
          <a:off x="5080401" y="5100596"/>
          <a:ext cx="88979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2"/>
              </a:solidFill>
              <a:latin typeface="Kulim park"/>
            </a:rPr>
            <a:t>Developers</a:t>
          </a:r>
        </a:p>
      </xdr:txBody>
    </xdr:sp>
    <xdr:clientData/>
  </xdr:oneCellAnchor>
  <xdr:oneCellAnchor>
    <xdr:from>
      <xdr:col>11</xdr:col>
      <xdr:colOff>206829</xdr:colOff>
      <xdr:row>31</xdr:row>
      <xdr:rowOff>124566</xdr:rowOff>
    </xdr:from>
    <xdr:ext cx="735009" cy="280205"/>
    <xdr:sp macro="" textlink="">
      <xdr:nvSpPr>
        <xdr:cNvPr id="55" name="TextBox 54">
          <a:extLst>
            <a:ext uri="{FF2B5EF4-FFF2-40B4-BE49-F238E27FC236}">
              <a16:creationId xmlns:a16="http://schemas.microsoft.com/office/drawing/2014/main" id="{31397864-ABEE-B085-BE22-C8F8394D8A5C}"/>
            </a:ext>
          </a:extLst>
        </xdr:cNvPr>
        <xdr:cNvSpPr txBox="1"/>
      </xdr:nvSpPr>
      <xdr:spPr>
        <a:xfrm>
          <a:off x="5115297" y="5290332"/>
          <a:ext cx="73500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2"/>
              </a:solidFill>
              <a:latin typeface="Kulim park"/>
            </a:rPr>
            <a:t>Designer</a:t>
          </a:r>
        </a:p>
      </xdr:txBody>
    </xdr:sp>
    <xdr:clientData/>
  </xdr:oneCellAnchor>
  <xdr:oneCellAnchor>
    <xdr:from>
      <xdr:col>11</xdr:col>
      <xdr:colOff>216725</xdr:colOff>
      <xdr:row>33</xdr:row>
      <xdr:rowOff>24966</xdr:rowOff>
    </xdr:from>
    <xdr:ext cx="705258" cy="280205"/>
    <xdr:sp macro="" textlink="">
      <xdr:nvSpPr>
        <xdr:cNvPr id="56" name="TextBox 55">
          <a:extLst>
            <a:ext uri="{FF2B5EF4-FFF2-40B4-BE49-F238E27FC236}">
              <a16:creationId xmlns:a16="http://schemas.microsoft.com/office/drawing/2014/main" id="{C08554B8-30B6-71DD-9414-B69C9EA29556}"/>
            </a:ext>
          </a:extLst>
        </xdr:cNvPr>
        <xdr:cNvSpPr txBox="1"/>
      </xdr:nvSpPr>
      <xdr:spPr>
        <a:xfrm>
          <a:off x="5125193" y="5546992"/>
          <a:ext cx="70525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2"/>
              </a:solidFill>
              <a:latin typeface="Kulim park"/>
            </a:rPr>
            <a:t>Analysts</a:t>
          </a:r>
        </a:p>
      </xdr:txBody>
    </xdr:sp>
    <xdr:clientData/>
  </xdr:oneCellAnchor>
  <xdr:twoCellAnchor>
    <xdr:from>
      <xdr:col>13</xdr:col>
      <xdr:colOff>257175</xdr:colOff>
      <xdr:row>26</xdr:row>
      <xdr:rowOff>57150</xdr:rowOff>
    </xdr:from>
    <xdr:to>
      <xdr:col>14</xdr:col>
      <xdr:colOff>381000</xdr:colOff>
      <xdr:row>27</xdr:row>
      <xdr:rowOff>57150</xdr:rowOff>
    </xdr:to>
    <xdr:sp macro="" textlink="">
      <xdr:nvSpPr>
        <xdr:cNvPr id="25" name="Rectangle: Rounded Corners 24">
          <a:extLst>
            <a:ext uri="{FF2B5EF4-FFF2-40B4-BE49-F238E27FC236}">
              <a16:creationId xmlns:a16="http://schemas.microsoft.com/office/drawing/2014/main" id="{66B95156-D59B-2361-B545-CB3187BF4B95}"/>
            </a:ext>
          </a:extLst>
        </xdr:cNvPr>
        <xdr:cNvSpPr/>
      </xdr:nvSpPr>
      <xdr:spPr>
        <a:xfrm>
          <a:off x="6353175" y="4400550"/>
          <a:ext cx="733425" cy="1809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13</xdr:col>
      <xdr:colOff>247650</xdr:colOff>
      <xdr:row>27</xdr:row>
      <xdr:rowOff>131445</xdr:rowOff>
    </xdr:from>
    <xdr:to>
      <xdr:col>14</xdr:col>
      <xdr:colOff>371475</xdr:colOff>
      <xdr:row>28</xdr:row>
      <xdr:rowOff>131445</xdr:rowOff>
    </xdr:to>
    <xdr:sp macro="" textlink="">
      <xdr:nvSpPr>
        <xdr:cNvPr id="26" name="Rectangle: Rounded Corners 25">
          <a:extLst>
            <a:ext uri="{FF2B5EF4-FFF2-40B4-BE49-F238E27FC236}">
              <a16:creationId xmlns:a16="http://schemas.microsoft.com/office/drawing/2014/main" id="{844DA06E-8642-C4D9-7EC7-7866528199CE}"/>
            </a:ext>
          </a:extLst>
        </xdr:cNvPr>
        <xdr:cNvSpPr/>
      </xdr:nvSpPr>
      <xdr:spPr>
        <a:xfrm>
          <a:off x="6343650" y="4655820"/>
          <a:ext cx="733425" cy="1809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13</xdr:col>
      <xdr:colOff>238125</xdr:colOff>
      <xdr:row>29</xdr:row>
      <xdr:rowOff>24765</xdr:rowOff>
    </xdr:from>
    <xdr:to>
      <xdr:col>14</xdr:col>
      <xdr:colOff>361950</xdr:colOff>
      <xdr:row>30</xdr:row>
      <xdr:rowOff>24765</xdr:rowOff>
    </xdr:to>
    <xdr:sp macro="" textlink="">
      <xdr:nvSpPr>
        <xdr:cNvPr id="30" name="Rectangle: Rounded Corners 29">
          <a:extLst>
            <a:ext uri="{FF2B5EF4-FFF2-40B4-BE49-F238E27FC236}">
              <a16:creationId xmlns:a16="http://schemas.microsoft.com/office/drawing/2014/main" id="{562316EF-CB20-B5BF-1BA4-94E4B730E9A5}"/>
            </a:ext>
          </a:extLst>
        </xdr:cNvPr>
        <xdr:cNvSpPr/>
      </xdr:nvSpPr>
      <xdr:spPr>
        <a:xfrm>
          <a:off x="6334125" y="4911090"/>
          <a:ext cx="733425" cy="1809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13</xdr:col>
      <xdr:colOff>228600</xdr:colOff>
      <xdr:row>30</xdr:row>
      <xdr:rowOff>99060</xdr:rowOff>
    </xdr:from>
    <xdr:to>
      <xdr:col>14</xdr:col>
      <xdr:colOff>352425</xdr:colOff>
      <xdr:row>31</xdr:row>
      <xdr:rowOff>99060</xdr:rowOff>
    </xdr:to>
    <xdr:sp macro="" textlink="">
      <xdr:nvSpPr>
        <xdr:cNvPr id="33" name="Rectangle: Rounded Corners 32">
          <a:extLst>
            <a:ext uri="{FF2B5EF4-FFF2-40B4-BE49-F238E27FC236}">
              <a16:creationId xmlns:a16="http://schemas.microsoft.com/office/drawing/2014/main" id="{929B104B-97CB-4FCB-5C20-DBA3160ED568}"/>
            </a:ext>
          </a:extLst>
        </xdr:cNvPr>
        <xdr:cNvSpPr/>
      </xdr:nvSpPr>
      <xdr:spPr>
        <a:xfrm>
          <a:off x="6324600" y="5166360"/>
          <a:ext cx="733425" cy="1809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13</xdr:col>
      <xdr:colOff>219075</xdr:colOff>
      <xdr:row>31</xdr:row>
      <xdr:rowOff>173355</xdr:rowOff>
    </xdr:from>
    <xdr:to>
      <xdr:col>14</xdr:col>
      <xdr:colOff>342900</xdr:colOff>
      <xdr:row>32</xdr:row>
      <xdr:rowOff>173355</xdr:rowOff>
    </xdr:to>
    <xdr:sp macro="" textlink="">
      <xdr:nvSpPr>
        <xdr:cNvPr id="34" name="Rectangle: Rounded Corners 33">
          <a:extLst>
            <a:ext uri="{FF2B5EF4-FFF2-40B4-BE49-F238E27FC236}">
              <a16:creationId xmlns:a16="http://schemas.microsoft.com/office/drawing/2014/main" id="{E0DEE45F-E18A-B106-CA29-88981A79977E}"/>
            </a:ext>
          </a:extLst>
        </xdr:cNvPr>
        <xdr:cNvSpPr/>
      </xdr:nvSpPr>
      <xdr:spPr>
        <a:xfrm>
          <a:off x="6315075" y="5421630"/>
          <a:ext cx="733425" cy="1809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13</xdr:col>
      <xdr:colOff>219075</xdr:colOff>
      <xdr:row>33</xdr:row>
      <xdr:rowOff>66675</xdr:rowOff>
    </xdr:from>
    <xdr:to>
      <xdr:col>14</xdr:col>
      <xdr:colOff>342900</xdr:colOff>
      <xdr:row>34</xdr:row>
      <xdr:rowOff>66675</xdr:rowOff>
    </xdr:to>
    <xdr:sp macro="" textlink="">
      <xdr:nvSpPr>
        <xdr:cNvPr id="35" name="Rectangle: Rounded Corners 34">
          <a:extLst>
            <a:ext uri="{FF2B5EF4-FFF2-40B4-BE49-F238E27FC236}">
              <a16:creationId xmlns:a16="http://schemas.microsoft.com/office/drawing/2014/main" id="{E1EB4D3B-61CE-9D24-F30F-6BE7AD272239}"/>
            </a:ext>
          </a:extLst>
        </xdr:cNvPr>
        <xdr:cNvSpPr/>
      </xdr:nvSpPr>
      <xdr:spPr>
        <a:xfrm>
          <a:off x="6315075" y="5676900"/>
          <a:ext cx="733425" cy="1809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oneCellAnchor>
    <xdr:from>
      <xdr:col>12</xdr:col>
      <xdr:colOff>561891</xdr:colOff>
      <xdr:row>26</xdr:row>
      <xdr:rowOff>7055</xdr:rowOff>
    </xdr:from>
    <xdr:ext cx="1370193" cy="280205"/>
    <xdr:sp macro="" textlink="PivotTables!F16">
      <xdr:nvSpPr>
        <xdr:cNvPr id="58" name="TextBox 57">
          <a:extLst>
            <a:ext uri="{FF2B5EF4-FFF2-40B4-BE49-F238E27FC236}">
              <a16:creationId xmlns:a16="http://schemas.microsoft.com/office/drawing/2014/main" id="{58EC5156-6B78-F66E-F57E-61F3E4492C99}"/>
            </a:ext>
          </a:extLst>
        </xdr:cNvPr>
        <xdr:cNvSpPr txBox="1"/>
      </xdr:nvSpPr>
      <xdr:spPr>
        <a:xfrm>
          <a:off x="6031962" y="4361341"/>
          <a:ext cx="137019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095F694-2DA3-4CAB-9316-BFF9E3A4A2A0}" type="TxLink">
            <a:rPr lang="en-US" sz="1200" b="0" i="0" u="none" strike="noStrike">
              <a:solidFill>
                <a:schemeClr val="tx1"/>
              </a:solidFill>
              <a:latin typeface="Kulim park"/>
            </a:rPr>
            <a:pPr algn="ctr"/>
            <a:t> 31,04,913 </a:t>
          </a:fld>
          <a:endParaRPr lang="en-IN" sz="1400">
            <a:solidFill>
              <a:schemeClr val="tx1"/>
            </a:solidFill>
            <a:latin typeface="Kulim park"/>
          </a:endParaRPr>
        </a:p>
      </xdr:txBody>
    </xdr:sp>
    <xdr:clientData/>
  </xdr:oneCellAnchor>
  <xdr:oneCellAnchor>
    <xdr:from>
      <xdr:col>13</xdr:col>
      <xdr:colOff>29545</xdr:colOff>
      <xdr:row>27</xdr:row>
      <xdr:rowOff>84619</xdr:rowOff>
    </xdr:from>
    <xdr:ext cx="1248363" cy="280205"/>
    <xdr:sp macro="" textlink="PivotTables!F15">
      <xdr:nvSpPr>
        <xdr:cNvPr id="59" name="TextBox 58">
          <a:extLst>
            <a:ext uri="{FF2B5EF4-FFF2-40B4-BE49-F238E27FC236}">
              <a16:creationId xmlns:a16="http://schemas.microsoft.com/office/drawing/2014/main" id="{BED452E3-F3CC-4514-09CC-FE18D7E6F16C}"/>
            </a:ext>
          </a:extLst>
        </xdr:cNvPr>
        <xdr:cNvSpPr txBox="1"/>
      </xdr:nvSpPr>
      <xdr:spPr>
        <a:xfrm>
          <a:off x="6125545" y="4608994"/>
          <a:ext cx="124836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8D8819C-4ABB-49C4-8C89-845873CDF275}" type="TxLink">
            <a:rPr lang="en-US" sz="1200" b="0" i="0" u="none" strike="noStrike">
              <a:solidFill>
                <a:schemeClr val="tx1"/>
              </a:solidFill>
              <a:latin typeface="Kulim park"/>
            </a:rPr>
            <a:pPr algn="ctr"/>
            <a:t> 7,31,170 </a:t>
          </a:fld>
          <a:endParaRPr lang="en-IN" sz="1400">
            <a:solidFill>
              <a:schemeClr val="tx1"/>
            </a:solidFill>
            <a:latin typeface="Kulim park"/>
          </a:endParaRPr>
        </a:p>
      </xdr:txBody>
    </xdr:sp>
    <xdr:clientData/>
  </xdr:oneCellAnchor>
  <xdr:oneCellAnchor>
    <xdr:from>
      <xdr:col>13</xdr:col>
      <xdr:colOff>29545</xdr:colOff>
      <xdr:row>28</xdr:row>
      <xdr:rowOff>162183</xdr:rowOff>
    </xdr:from>
    <xdr:ext cx="1248363" cy="280205"/>
    <xdr:sp macro="" textlink="PivotTables!F14">
      <xdr:nvSpPr>
        <xdr:cNvPr id="60" name="TextBox 59">
          <a:extLst>
            <a:ext uri="{FF2B5EF4-FFF2-40B4-BE49-F238E27FC236}">
              <a16:creationId xmlns:a16="http://schemas.microsoft.com/office/drawing/2014/main" id="{8B33BCD9-966C-C1AF-4556-F5F012DEB251}"/>
            </a:ext>
          </a:extLst>
        </xdr:cNvPr>
        <xdr:cNvSpPr txBox="1"/>
      </xdr:nvSpPr>
      <xdr:spPr>
        <a:xfrm>
          <a:off x="6125545" y="4867533"/>
          <a:ext cx="124836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108D7E2-6930-469C-9DE4-ECB25AAA341B}" type="TxLink">
            <a:rPr lang="en-US" sz="1200" b="0" i="0" u="none" strike="noStrike">
              <a:solidFill>
                <a:schemeClr val="tx1"/>
              </a:solidFill>
              <a:latin typeface="Kulim park"/>
            </a:rPr>
            <a:pPr algn="ctr"/>
            <a:t> 9,59,266 </a:t>
          </a:fld>
          <a:endParaRPr lang="en-IN" sz="1400">
            <a:solidFill>
              <a:schemeClr val="tx1"/>
            </a:solidFill>
            <a:latin typeface="Kulim park"/>
          </a:endParaRPr>
        </a:p>
      </xdr:txBody>
    </xdr:sp>
    <xdr:clientData/>
  </xdr:oneCellAnchor>
  <xdr:oneCellAnchor>
    <xdr:from>
      <xdr:col>13</xdr:col>
      <xdr:colOff>29545</xdr:colOff>
      <xdr:row>30</xdr:row>
      <xdr:rowOff>58772</xdr:rowOff>
    </xdr:from>
    <xdr:ext cx="1248363" cy="280205"/>
    <xdr:sp macro="" textlink="PivotTables!F13">
      <xdr:nvSpPr>
        <xdr:cNvPr id="61" name="TextBox 60">
          <a:extLst>
            <a:ext uri="{FF2B5EF4-FFF2-40B4-BE49-F238E27FC236}">
              <a16:creationId xmlns:a16="http://schemas.microsoft.com/office/drawing/2014/main" id="{FD608EE1-BDAE-25CF-BE95-713C8EC8D4DE}"/>
            </a:ext>
          </a:extLst>
        </xdr:cNvPr>
        <xdr:cNvSpPr txBox="1"/>
      </xdr:nvSpPr>
      <xdr:spPr>
        <a:xfrm>
          <a:off x="6125545" y="5126072"/>
          <a:ext cx="124836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42B4BA4-E285-45AA-A873-22694AC8C14C}" type="TxLink">
            <a:rPr lang="en-US" sz="1200" b="0" i="0" u="none" strike="noStrike">
              <a:solidFill>
                <a:schemeClr val="tx1"/>
              </a:solidFill>
              <a:latin typeface="Kulim park"/>
            </a:rPr>
            <a:pPr algn="ctr"/>
            <a:t> 6,33,594 </a:t>
          </a:fld>
          <a:endParaRPr lang="en-IN" sz="1400">
            <a:solidFill>
              <a:schemeClr val="tx1"/>
            </a:solidFill>
            <a:latin typeface="Kulim park"/>
          </a:endParaRPr>
        </a:p>
      </xdr:txBody>
    </xdr:sp>
    <xdr:clientData/>
  </xdr:oneCellAnchor>
  <xdr:oneCellAnchor>
    <xdr:from>
      <xdr:col>13</xdr:col>
      <xdr:colOff>29545</xdr:colOff>
      <xdr:row>31</xdr:row>
      <xdr:rowOff>136336</xdr:rowOff>
    </xdr:from>
    <xdr:ext cx="1248363" cy="280205"/>
    <xdr:sp macro="" textlink="PivotTables!F12">
      <xdr:nvSpPr>
        <xdr:cNvPr id="62" name="TextBox 61">
          <a:extLst>
            <a:ext uri="{FF2B5EF4-FFF2-40B4-BE49-F238E27FC236}">
              <a16:creationId xmlns:a16="http://schemas.microsoft.com/office/drawing/2014/main" id="{897BEE64-0D5D-5D26-5C93-79080FFF894C}"/>
            </a:ext>
          </a:extLst>
        </xdr:cNvPr>
        <xdr:cNvSpPr txBox="1"/>
      </xdr:nvSpPr>
      <xdr:spPr>
        <a:xfrm>
          <a:off x="6125545" y="5384611"/>
          <a:ext cx="124836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61F97D3-8CFE-463A-B4F7-CC30E1CE2AA0}" type="TxLink">
            <a:rPr lang="en-US" sz="1200" b="0" i="0" u="none" strike="noStrike">
              <a:solidFill>
                <a:schemeClr val="tx1"/>
              </a:solidFill>
              <a:latin typeface="Kulim park"/>
            </a:rPr>
            <a:pPr algn="ctr"/>
            <a:t> 6,13,842 </a:t>
          </a:fld>
          <a:endParaRPr lang="en-IN" sz="1400">
            <a:solidFill>
              <a:schemeClr val="tx1"/>
            </a:solidFill>
            <a:latin typeface="Kulim park"/>
          </a:endParaRPr>
        </a:p>
      </xdr:txBody>
    </xdr:sp>
    <xdr:clientData/>
  </xdr:oneCellAnchor>
  <xdr:oneCellAnchor>
    <xdr:from>
      <xdr:col>13</xdr:col>
      <xdr:colOff>29545</xdr:colOff>
      <xdr:row>33</xdr:row>
      <xdr:rowOff>32926</xdr:rowOff>
    </xdr:from>
    <xdr:ext cx="1248363" cy="280205"/>
    <xdr:sp macro="" textlink="PivotTables!F11">
      <xdr:nvSpPr>
        <xdr:cNvPr id="63" name="TextBox 62">
          <a:extLst>
            <a:ext uri="{FF2B5EF4-FFF2-40B4-BE49-F238E27FC236}">
              <a16:creationId xmlns:a16="http://schemas.microsoft.com/office/drawing/2014/main" id="{D6CCBF72-5681-4E17-ADBC-C69CE7EDEB78}"/>
            </a:ext>
          </a:extLst>
        </xdr:cNvPr>
        <xdr:cNvSpPr txBox="1"/>
      </xdr:nvSpPr>
      <xdr:spPr>
        <a:xfrm>
          <a:off x="6125545" y="5643151"/>
          <a:ext cx="124836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7C366CC-62BC-42B8-81FA-80C385922E75}" type="TxLink">
            <a:rPr lang="en-US" sz="1200" b="0" i="0" u="none" strike="noStrike">
              <a:solidFill>
                <a:schemeClr val="tx1"/>
              </a:solidFill>
              <a:latin typeface="Kulim park"/>
            </a:rPr>
            <a:pPr algn="ctr"/>
            <a:t> 1,67,041 </a:t>
          </a:fld>
          <a:endParaRPr lang="en-IN" sz="1400">
            <a:solidFill>
              <a:schemeClr val="tx1"/>
            </a:solidFill>
            <a:latin typeface="Kulim park"/>
          </a:endParaRPr>
        </a:p>
      </xdr:txBody>
    </xdr:sp>
    <xdr:clientData/>
  </xdr:oneCellAnchor>
  <xdr:oneCellAnchor>
    <xdr:from>
      <xdr:col>11</xdr:col>
      <xdr:colOff>161925</xdr:colOff>
      <xdr:row>23</xdr:row>
      <xdr:rowOff>8249</xdr:rowOff>
    </xdr:from>
    <xdr:ext cx="760786" cy="311496"/>
    <xdr:sp macro="" textlink="">
      <xdr:nvSpPr>
        <xdr:cNvPr id="90" name="TextBox 89">
          <a:extLst>
            <a:ext uri="{FF2B5EF4-FFF2-40B4-BE49-F238E27FC236}">
              <a16:creationId xmlns:a16="http://schemas.microsoft.com/office/drawing/2014/main" id="{C4D429B4-F181-33D7-E5BC-6EE018E3A4C7}"/>
            </a:ext>
          </a:extLst>
        </xdr:cNvPr>
        <xdr:cNvSpPr txBox="1"/>
      </xdr:nvSpPr>
      <xdr:spPr>
        <a:xfrm>
          <a:off x="5038725" y="3808724"/>
          <a:ext cx="76078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accent2">
                  <a:lumMod val="60000"/>
                  <a:lumOff val="40000"/>
                </a:schemeClr>
              </a:solidFill>
              <a:latin typeface="Kulim park"/>
            </a:rPr>
            <a:t>Salaries</a:t>
          </a:r>
        </a:p>
      </xdr:txBody>
    </xdr:sp>
    <xdr:clientData/>
  </xdr:oneCellAnchor>
  <xdr:oneCellAnchor>
    <xdr:from>
      <xdr:col>11</xdr:col>
      <xdr:colOff>171450</xdr:colOff>
      <xdr:row>24</xdr:row>
      <xdr:rowOff>55874</xdr:rowOff>
    </xdr:from>
    <xdr:ext cx="1683602" cy="256737"/>
    <xdr:sp macro="" textlink="">
      <xdr:nvSpPr>
        <xdr:cNvPr id="91" name="TextBox 90">
          <a:extLst>
            <a:ext uri="{FF2B5EF4-FFF2-40B4-BE49-F238E27FC236}">
              <a16:creationId xmlns:a16="http://schemas.microsoft.com/office/drawing/2014/main" id="{79E063EA-3CB9-51EC-1C9E-F44B551292CD}"/>
            </a:ext>
          </a:extLst>
        </xdr:cNvPr>
        <xdr:cNvSpPr txBox="1"/>
      </xdr:nvSpPr>
      <xdr:spPr>
        <a:xfrm>
          <a:off x="5048250" y="4037324"/>
          <a:ext cx="1683602" cy="256737"/>
        </a:xfrm>
        <a:prstGeom prst="rect">
          <a:avLst/>
        </a:prstGeom>
        <a:solidFill>
          <a:srgbClr val="282828"/>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bg1">
                  <a:lumMod val="65000"/>
                </a:schemeClr>
              </a:solidFill>
              <a:latin typeface="Kulim park"/>
            </a:rPr>
            <a:t>Salary</a:t>
          </a:r>
          <a:r>
            <a:rPr lang="en-IN" sz="1050" b="1" baseline="0">
              <a:solidFill>
                <a:schemeClr val="bg1">
                  <a:lumMod val="65000"/>
                </a:schemeClr>
              </a:solidFill>
              <a:latin typeface="Kulim park"/>
            </a:rPr>
            <a:t> amount by job titels</a:t>
          </a:r>
          <a:endParaRPr lang="en-IN" sz="1050" b="1">
            <a:solidFill>
              <a:schemeClr val="bg1">
                <a:lumMod val="65000"/>
              </a:schemeClr>
            </a:solidFill>
            <a:latin typeface="Kulim park"/>
          </a:endParaRPr>
        </a:p>
      </xdr:txBody>
    </xdr:sp>
    <xdr:clientData/>
  </xdr:oneCellAnchor>
  <xdr:twoCellAnchor>
    <xdr:from>
      <xdr:col>15</xdr:col>
      <xdr:colOff>190500</xdr:colOff>
      <xdr:row>21</xdr:row>
      <xdr:rowOff>161925</xdr:rowOff>
    </xdr:from>
    <xdr:to>
      <xdr:col>17</xdr:col>
      <xdr:colOff>285750</xdr:colOff>
      <xdr:row>28</xdr:row>
      <xdr:rowOff>76200</xdr:rowOff>
    </xdr:to>
    <xdr:graphicFrame macro="">
      <xdr:nvGraphicFramePr>
        <xdr:cNvPr id="93" name="Chart 92">
          <a:extLst>
            <a:ext uri="{FF2B5EF4-FFF2-40B4-BE49-F238E27FC236}">
              <a16:creationId xmlns:a16="http://schemas.microsoft.com/office/drawing/2014/main" id="{1D721A29-0801-45AE-A9B1-802E70553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76200</xdr:colOff>
      <xdr:row>22</xdr:row>
      <xdr:rowOff>161925</xdr:rowOff>
    </xdr:from>
    <xdr:to>
      <xdr:col>19</xdr:col>
      <xdr:colOff>342900</xdr:colOff>
      <xdr:row>24</xdr:row>
      <xdr:rowOff>66675</xdr:rowOff>
    </xdr:to>
    <xdr:sp macro="" textlink="">
      <xdr:nvSpPr>
        <xdr:cNvPr id="94" name="Oval 93">
          <a:extLst>
            <a:ext uri="{FF2B5EF4-FFF2-40B4-BE49-F238E27FC236}">
              <a16:creationId xmlns:a16="http://schemas.microsoft.com/office/drawing/2014/main" id="{B16C00B0-7256-A912-0F57-CFA63F980BC8}"/>
            </a:ext>
          </a:extLst>
        </xdr:cNvPr>
        <xdr:cNvSpPr/>
      </xdr:nvSpPr>
      <xdr:spPr>
        <a:xfrm>
          <a:off x="9800771" y="3790496"/>
          <a:ext cx="266700" cy="267608"/>
        </a:xfrm>
        <a:prstGeom prst="ellipse">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oneCellAnchor>
    <xdr:from>
      <xdr:col>15</xdr:col>
      <xdr:colOff>95250</xdr:colOff>
      <xdr:row>20</xdr:row>
      <xdr:rowOff>46349</xdr:rowOff>
    </xdr:from>
    <xdr:ext cx="2627194" cy="311496"/>
    <xdr:sp macro="" textlink="">
      <xdr:nvSpPr>
        <xdr:cNvPr id="95" name="TextBox 94">
          <a:extLst>
            <a:ext uri="{FF2B5EF4-FFF2-40B4-BE49-F238E27FC236}">
              <a16:creationId xmlns:a16="http://schemas.microsoft.com/office/drawing/2014/main" id="{84FC1CF7-910C-F912-6A8F-DFBABCBF41D2}"/>
            </a:ext>
          </a:extLst>
        </xdr:cNvPr>
        <xdr:cNvSpPr txBox="1"/>
      </xdr:nvSpPr>
      <xdr:spPr>
        <a:xfrm>
          <a:off x="7410450" y="3303899"/>
          <a:ext cx="262719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accent2">
                  <a:lumMod val="60000"/>
                  <a:lumOff val="40000"/>
                </a:schemeClr>
              </a:solidFill>
              <a:latin typeface="Kulim park"/>
            </a:rPr>
            <a:t>Employment</a:t>
          </a:r>
          <a:r>
            <a:rPr lang="en-IN" sz="1400" b="1" baseline="0">
              <a:solidFill>
                <a:schemeClr val="accent2">
                  <a:lumMod val="60000"/>
                  <a:lumOff val="40000"/>
                </a:schemeClr>
              </a:solidFill>
              <a:latin typeface="Kulim park"/>
            </a:rPr>
            <a:t> Status BreackDown</a:t>
          </a:r>
          <a:endParaRPr lang="en-IN" sz="1400" b="1">
            <a:solidFill>
              <a:schemeClr val="accent2">
                <a:lumMod val="60000"/>
                <a:lumOff val="40000"/>
              </a:schemeClr>
            </a:solidFill>
            <a:latin typeface="Kulim park"/>
          </a:endParaRPr>
        </a:p>
      </xdr:txBody>
    </xdr:sp>
    <xdr:clientData/>
  </xdr:oneCellAnchor>
  <xdr:twoCellAnchor>
    <xdr:from>
      <xdr:col>19</xdr:col>
      <xdr:colOff>123825</xdr:colOff>
      <xdr:row>29</xdr:row>
      <xdr:rowOff>142875</xdr:rowOff>
    </xdr:from>
    <xdr:to>
      <xdr:col>19</xdr:col>
      <xdr:colOff>390525</xdr:colOff>
      <xdr:row>31</xdr:row>
      <xdr:rowOff>47625</xdr:rowOff>
    </xdr:to>
    <xdr:sp macro="" textlink="">
      <xdr:nvSpPr>
        <xdr:cNvPr id="96" name="Oval 95">
          <a:extLst>
            <a:ext uri="{FF2B5EF4-FFF2-40B4-BE49-F238E27FC236}">
              <a16:creationId xmlns:a16="http://schemas.microsoft.com/office/drawing/2014/main" id="{7BEE09A7-68F3-3454-AF49-527B4A1F014F}"/>
            </a:ext>
          </a:extLst>
        </xdr:cNvPr>
        <xdr:cNvSpPr/>
      </xdr:nvSpPr>
      <xdr:spPr>
        <a:xfrm>
          <a:off x="9877425" y="5029200"/>
          <a:ext cx="266700" cy="266700"/>
        </a:xfrm>
        <a:prstGeom prst="ellipse">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16</xdr:col>
      <xdr:colOff>561975</xdr:colOff>
      <xdr:row>29</xdr:row>
      <xdr:rowOff>161925</xdr:rowOff>
    </xdr:from>
    <xdr:to>
      <xdr:col>17</xdr:col>
      <xdr:colOff>219075</xdr:colOff>
      <xdr:row>31</xdr:row>
      <xdr:rowOff>66675</xdr:rowOff>
    </xdr:to>
    <xdr:sp macro="" textlink="">
      <xdr:nvSpPr>
        <xdr:cNvPr id="97" name="Oval 96">
          <a:extLst>
            <a:ext uri="{FF2B5EF4-FFF2-40B4-BE49-F238E27FC236}">
              <a16:creationId xmlns:a16="http://schemas.microsoft.com/office/drawing/2014/main" id="{DAD35E56-56AC-DE46-70AA-1684C41A8E7C}"/>
            </a:ext>
          </a:extLst>
        </xdr:cNvPr>
        <xdr:cNvSpPr/>
      </xdr:nvSpPr>
      <xdr:spPr>
        <a:xfrm>
          <a:off x="8486775" y="5048250"/>
          <a:ext cx="266700" cy="266700"/>
        </a:xfrm>
        <a:prstGeom prst="ellipse">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6</xdr:col>
      <xdr:colOff>567038</xdr:colOff>
      <xdr:row>27</xdr:row>
      <xdr:rowOff>63500</xdr:rowOff>
    </xdr:from>
    <xdr:to>
      <xdr:col>10</xdr:col>
      <xdr:colOff>480786</xdr:colOff>
      <xdr:row>35</xdr:row>
      <xdr:rowOff>154213</xdr:rowOff>
    </xdr:to>
    <xdr:graphicFrame macro="">
      <xdr:nvGraphicFramePr>
        <xdr:cNvPr id="102" name="Chart 101">
          <a:extLst>
            <a:ext uri="{FF2B5EF4-FFF2-40B4-BE49-F238E27FC236}">
              <a16:creationId xmlns:a16="http://schemas.microsoft.com/office/drawing/2014/main" id="{EEFFC134-452B-40A5-90DD-EAFB0916C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34925</xdr:colOff>
      <xdr:row>23</xdr:row>
      <xdr:rowOff>53606</xdr:rowOff>
    </xdr:from>
    <xdr:ext cx="971228" cy="311496"/>
    <xdr:sp macro="" textlink="">
      <xdr:nvSpPr>
        <xdr:cNvPr id="103" name="TextBox 102">
          <a:extLst>
            <a:ext uri="{FF2B5EF4-FFF2-40B4-BE49-F238E27FC236}">
              <a16:creationId xmlns:a16="http://schemas.microsoft.com/office/drawing/2014/main" id="{10905D8F-5B9B-3FD1-690A-921E52C50175}"/>
            </a:ext>
          </a:extLst>
        </xdr:cNvPr>
        <xdr:cNvSpPr txBox="1"/>
      </xdr:nvSpPr>
      <xdr:spPr>
        <a:xfrm>
          <a:off x="2466068" y="3863606"/>
          <a:ext cx="97122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accent2">
                  <a:lumMod val="60000"/>
                  <a:lumOff val="40000"/>
                </a:schemeClr>
              </a:solidFill>
              <a:latin typeface="Kulim park"/>
            </a:rPr>
            <a:t>Age</a:t>
          </a:r>
          <a:r>
            <a:rPr lang="en-IN" sz="1400" b="1" baseline="0">
              <a:solidFill>
                <a:schemeClr val="accent2">
                  <a:lumMod val="60000"/>
                  <a:lumOff val="40000"/>
                </a:schemeClr>
              </a:solidFill>
              <a:latin typeface="Kulim park"/>
            </a:rPr>
            <a:t> Range</a:t>
          </a:r>
          <a:endParaRPr lang="en-IN" sz="1400" b="1">
            <a:solidFill>
              <a:schemeClr val="accent2">
                <a:lumMod val="60000"/>
                <a:lumOff val="40000"/>
              </a:schemeClr>
            </a:solidFill>
            <a:latin typeface="Kulim park"/>
          </a:endParaRPr>
        </a:p>
      </xdr:txBody>
    </xdr:sp>
    <xdr:clientData/>
  </xdr:oneCellAnchor>
  <xdr:oneCellAnchor>
    <xdr:from>
      <xdr:col>7</xdr:col>
      <xdr:colOff>44450</xdr:colOff>
      <xdr:row>24</xdr:row>
      <xdr:rowOff>101231</xdr:rowOff>
    </xdr:from>
    <xdr:ext cx="2098395" cy="405367"/>
    <xdr:sp macro="" textlink="">
      <xdr:nvSpPr>
        <xdr:cNvPr id="104" name="TextBox 103">
          <a:extLst>
            <a:ext uri="{FF2B5EF4-FFF2-40B4-BE49-F238E27FC236}">
              <a16:creationId xmlns:a16="http://schemas.microsoft.com/office/drawing/2014/main" id="{D2A87544-E786-3265-2085-07CA65BD44F5}"/>
            </a:ext>
          </a:extLst>
        </xdr:cNvPr>
        <xdr:cNvSpPr txBox="1"/>
      </xdr:nvSpPr>
      <xdr:spPr>
        <a:xfrm>
          <a:off x="2475593" y="4092660"/>
          <a:ext cx="2098395"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solidFill>
                <a:schemeClr val="bg1">
                  <a:lumMod val="65000"/>
                </a:schemeClr>
              </a:solidFill>
              <a:latin typeface="Kulim park"/>
            </a:rPr>
            <a:t>No.</a:t>
          </a:r>
          <a:r>
            <a:rPr lang="en-IN" sz="1000" b="1" baseline="0">
              <a:solidFill>
                <a:schemeClr val="bg1">
                  <a:lumMod val="65000"/>
                </a:schemeClr>
              </a:solidFill>
              <a:latin typeface="Kulim park"/>
            </a:rPr>
            <a:t> of employee's according toage r</a:t>
          </a:r>
        </a:p>
        <a:p>
          <a:r>
            <a:rPr lang="en-IN" sz="1000" b="1" baseline="0">
              <a:solidFill>
                <a:schemeClr val="bg1">
                  <a:lumMod val="65000"/>
                </a:schemeClr>
              </a:solidFill>
              <a:latin typeface="Kulim park"/>
            </a:rPr>
            <a:t>ange and gender</a:t>
          </a:r>
          <a:endParaRPr lang="en-IN" sz="1050" b="1">
            <a:solidFill>
              <a:schemeClr val="bg1">
                <a:lumMod val="65000"/>
              </a:schemeClr>
            </a:solidFill>
            <a:latin typeface="Kulim park"/>
          </a:endParaRPr>
        </a:p>
      </xdr:txBody>
    </xdr:sp>
    <xdr:clientData/>
  </xdr:oneCellAnchor>
  <xdr:oneCellAnchor>
    <xdr:from>
      <xdr:col>9</xdr:col>
      <xdr:colOff>590550</xdr:colOff>
      <xdr:row>26</xdr:row>
      <xdr:rowOff>51338</xdr:rowOff>
    </xdr:from>
    <xdr:ext cx="518091" cy="280205"/>
    <xdr:sp macro="" textlink="">
      <xdr:nvSpPr>
        <xdr:cNvPr id="105" name="TextBox 104">
          <a:extLst>
            <a:ext uri="{FF2B5EF4-FFF2-40B4-BE49-F238E27FC236}">
              <a16:creationId xmlns:a16="http://schemas.microsoft.com/office/drawing/2014/main" id="{D0707341-4E5A-DB66-58E7-E3C4EBC0A642}"/>
            </a:ext>
          </a:extLst>
        </xdr:cNvPr>
        <xdr:cNvSpPr txBox="1"/>
      </xdr:nvSpPr>
      <xdr:spPr>
        <a:xfrm>
          <a:off x="4237264" y="4405624"/>
          <a:ext cx="51809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lumMod val="95000"/>
                </a:schemeClr>
              </a:solidFill>
              <a:latin typeface="Kulim park"/>
            </a:rPr>
            <a:t>Male</a:t>
          </a:r>
          <a:r>
            <a:rPr lang="en-IN" sz="1200" b="1">
              <a:solidFill>
                <a:schemeClr val="bg1">
                  <a:lumMod val="95000"/>
                </a:schemeClr>
              </a:solidFill>
              <a:latin typeface="Kulim park"/>
            </a:rPr>
            <a:t> </a:t>
          </a:r>
        </a:p>
      </xdr:txBody>
    </xdr:sp>
    <xdr:clientData/>
  </xdr:oneCellAnchor>
  <xdr:twoCellAnchor>
    <xdr:from>
      <xdr:col>9</xdr:col>
      <xdr:colOff>538843</xdr:colOff>
      <xdr:row>26</xdr:row>
      <xdr:rowOff>154213</xdr:rowOff>
    </xdr:from>
    <xdr:to>
      <xdr:col>10</xdr:col>
      <xdr:colOff>18144</xdr:colOff>
      <xdr:row>27</xdr:row>
      <xdr:rowOff>63500</xdr:rowOff>
    </xdr:to>
    <xdr:sp macro="" textlink="">
      <xdr:nvSpPr>
        <xdr:cNvPr id="106" name="Oval 105">
          <a:extLst>
            <a:ext uri="{FF2B5EF4-FFF2-40B4-BE49-F238E27FC236}">
              <a16:creationId xmlns:a16="http://schemas.microsoft.com/office/drawing/2014/main" id="{7B375554-C6A9-8B1D-B618-93C162F92C78}"/>
            </a:ext>
          </a:extLst>
        </xdr:cNvPr>
        <xdr:cNvSpPr/>
      </xdr:nvSpPr>
      <xdr:spPr>
        <a:xfrm>
          <a:off x="4185557" y="4508499"/>
          <a:ext cx="87087" cy="90715"/>
        </a:xfrm>
        <a:prstGeom prst="ellipse">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oneCellAnchor>
    <xdr:from>
      <xdr:col>8</xdr:col>
      <xdr:colOff>545192</xdr:colOff>
      <xdr:row>26</xdr:row>
      <xdr:rowOff>42266</xdr:rowOff>
    </xdr:from>
    <xdr:ext cx="645369" cy="280205"/>
    <xdr:sp macro="" textlink="">
      <xdr:nvSpPr>
        <xdr:cNvPr id="107" name="TextBox 106">
          <a:extLst>
            <a:ext uri="{FF2B5EF4-FFF2-40B4-BE49-F238E27FC236}">
              <a16:creationId xmlns:a16="http://schemas.microsoft.com/office/drawing/2014/main" id="{08B52EFB-833E-2A5A-F460-92E9C868FDB9}"/>
            </a:ext>
          </a:extLst>
        </xdr:cNvPr>
        <xdr:cNvSpPr txBox="1"/>
      </xdr:nvSpPr>
      <xdr:spPr>
        <a:xfrm>
          <a:off x="3584121" y="4396552"/>
          <a:ext cx="64536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lumMod val="95000"/>
                </a:schemeClr>
              </a:solidFill>
              <a:latin typeface="Kulim park"/>
            </a:rPr>
            <a:t>Female</a:t>
          </a:r>
          <a:r>
            <a:rPr lang="en-IN" sz="1200" b="1">
              <a:solidFill>
                <a:schemeClr val="bg1">
                  <a:lumMod val="95000"/>
                </a:schemeClr>
              </a:solidFill>
              <a:latin typeface="Kulim park"/>
            </a:rPr>
            <a:t> </a:t>
          </a:r>
        </a:p>
      </xdr:txBody>
    </xdr:sp>
    <xdr:clientData/>
  </xdr:oneCellAnchor>
  <xdr:twoCellAnchor>
    <xdr:from>
      <xdr:col>8</xdr:col>
      <xdr:colOff>493485</xdr:colOff>
      <xdr:row>26</xdr:row>
      <xdr:rowOff>145141</xdr:rowOff>
    </xdr:from>
    <xdr:to>
      <xdr:col>8</xdr:col>
      <xdr:colOff>580572</xdr:colOff>
      <xdr:row>27</xdr:row>
      <xdr:rowOff>54428</xdr:rowOff>
    </xdr:to>
    <xdr:sp macro="" textlink="">
      <xdr:nvSpPr>
        <xdr:cNvPr id="108" name="Oval 107">
          <a:extLst>
            <a:ext uri="{FF2B5EF4-FFF2-40B4-BE49-F238E27FC236}">
              <a16:creationId xmlns:a16="http://schemas.microsoft.com/office/drawing/2014/main" id="{BDA2C844-B4D2-C3F1-1A2D-8DF9D082EB66}"/>
            </a:ext>
          </a:extLst>
        </xdr:cNvPr>
        <xdr:cNvSpPr/>
      </xdr:nvSpPr>
      <xdr:spPr>
        <a:xfrm>
          <a:off x="3532414" y="4499427"/>
          <a:ext cx="87087" cy="90715"/>
        </a:xfrm>
        <a:prstGeom prst="ellipse">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60000"/>
                <a:lumOff val="40000"/>
              </a:schemeClr>
            </a:solidFill>
            <a:latin typeface="Kulim park"/>
          </a:endParaRPr>
        </a:p>
      </xdr:txBody>
    </xdr:sp>
    <xdr:clientData/>
  </xdr:twoCellAnchor>
  <xdr:twoCellAnchor>
    <xdr:from>
      <xdr:col>3</xdr:col>
      <xdr:colOff>311053</xdr:colOff>
      <xdr:row>28</xdr:row>
      <xdr:rowOff>71717</xdr:rowOff>
    </xdr:from>
    <xdr:to>
      <xdr:col>6</xdr:col>
      <xdr:colOff>172212</xdr:colOff>
      <xdr:row>32</xdr:row>
      <xdr:rowOff>58613</xdr:rowOff>
    </xdr:to>
    <xdr:graphicFrame macro="">
      <xdr:nvGraphicFramePr>
        <xdr:cNvPr id="113" name="Chart 112">
          <a:extLst>
            <a:ext uri="{FF2B5EF4-FFF2-40B4-BE49-F238E27FC236}">
              <a16:creationId xmlns:a16="http://schemas.microsoft.com/office/drawing/2014/main" id="{D970E711-ABB7-4C36-B7DD-324512C78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199488</xdr:colOff>
      <xdr:row>30</xdr:row>
      <xdr:rowOff>168939</xdr:rowOff>
    </xdr:from>
    <xdr:to>
      <xdr:col>6</xdr:col>
      <xdr:colOff>28358</xdr:colOff>
      <xdr:row>34</xdr:row>
      <xdr:rowOff>117231</xdr:rowOff>
    </xdr:to>
    <xdr:graphicFrame macro="">
      <xdr:nvGraphicFramePr>
        <xdr:cNvPr id="114" name="Chart 113">
          <a:extLst>
            <a:ext uri="{FF2B5EF4-FFF2-40B4-BE49-F238E27FC236}">
              <a16:creationId xmlns:a16="http://schemas.microsoft.com/office/drawing/2014/main" id="{AF7C7502-68B9-4C00-8415-A159E9C0C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372892</xdr:colOff>
      <xdr:row>33</xdr:row>
      <xdr:rowOff>27499</xdr:rowOff>
    </xdr:from>
    <xdr:to>
      <xdr:col>6</xdr:col>
      <xdr:colOff>107576</xdr:colOff>
      <xdr:row>36</xdr:row>
      <xdr:rowOff>87924</xdr:rowOff>
    </xdr:to>
    <xdr:graphicFrame macro="">
      <xdr:nvGraphicFramePr>
        <xdr:cNvPr id="115" name="Chart 114">
          <a:extLst>
            <a:ext uri="{FF2B5EF4-FFF2-40B4-BE49-F238E27FC236}">
              <a16:creationId xmlns:a16="http://schemas.microsoft.com/office/drawing/2014/main" id="{CE9C779F-AEE6-4088-BCF6-99DE26E3B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3</xdr:col>
      <xdr:colOff>361719</xdr:colOff>
      <xdr:row>28</xdr:row>
      <xdr:rowOff>125149</xdr:rowOff>
    </xdr:from>
    <xdr:ext cx="1046953" cy="280205"/>
    <xdr:sp macro="" textlink="">
      <xdr:nvSpPr>
        <xdr:cNvPr id="7" name="TextBox 6">
          <a:extLst>
            <a:ext uri="{FF2B5EF4-FFF2-40B4-BE49-F238E27FC236}">
              <a16:creationId xmlns:a16="http://schemas.microsoft.com/office/drawing/2014/main" id="{077621AC-A259-FB1E-2D3E-4F40A59A0282}"/>
            </a:ext>
          </a:extLst>
        </xdr:cNvPr>
        <xdr:cNvSpPr txBox="1"/>
      </xdr:nvSpPr>
      <xdr:spPr>
        <a:xfrm>
          <a:off x="361719" y="4786796"/>
          <a:ext cx="104695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200" b="1">
              <a:solidFill>
                <a:schemeClr val="bg2"/>
              </a:solidFill>
              <a:latin typeface="Kulim park"/>
            </a:rPr>
            <a:t>Branch Office</a:t>
          </a:r>
        </a:p>
      </xdr:txBody>
    </xdr:sp>
    <xdr:clientData/>
  </xdr:oneCellAnchor>
  <xdr:oneCellAnchor>
    <xdr:from>
      <xdr:col>3</xdr:col>
      <xdr:colOff>379649</xdr:colOff>
      <xdr:row>30</xdr:row>
      <xdr:rowOff>173994</xdr:rowOff>
    </xdr:from>
    <xdr:ext cx="933589" cy="280205"/>
    <xdr:sp macro="" textlink="">
      <xdr:nvSpPr>
        <xdr:cNvPr id="9" name="TextBox 8">
          <a:extLst>
            <a:ext uri="{FF2B5EF4-FFF2-40B4-BE49-F238E27FC236}">
              <a16:creationId xmlns:a16="http://schemas.microsoft.com/office/drawing/2014/main" id="{8FCF5B94-AF2D-545C-4B4F-75C7C87D4325}"/>
            </a:ext>
          </a:extLst>
        </xdr:cNvPr>
        <xdr:cNvSpPr txBox="1"/>
      </xdr:nvSpPr>
      <xdr:spPr>
        <a:xfrm>
          <a:off x="379649" y="5194229"/>
          <a:ext cx="93358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200" b="1" baseline="0">
              <a:solidFill>
                <a:schemeClr val="bg2"/>
              </a:solidFill>
              <a:latin typeface="Kulim park"/>
            </a:rPr>
            <a:t>Head Office</a:t>
          </a:r>
          <a:endParaRPr lang="en-IN" sz="1200" b="1">
            <a:solidFill>
              <a:schemeClr val="bg2"/>
            </a:solidFill>
            <a:latin typeface="Kulim park"/>
          </a:endParaRPr>
        </a:p>
      </xdr:txBody>
    </xdr:sp>
    <xdr:clientData/>
  </xdr:oneCellAnchor>
  <xdr:oneCellAnchor>
    <xdr:from>
      <xdr:col>3</xdr:col>
      <xdr:colOff>388613</xdr:colOff>
      <xdr:row>33</xdr:row>
      <xdr:rowOff>17457</xdr:rowOff>
    </xdr:from>
    <xdr:ext cx="687432" cy="280205"/>
    <xdr:sp macro="" textlink="">
      <xdr:nvSpPr>
        <xdr:cNvPr id="10" name="TextBox 9">
          <a:extLst>
            <a:ext uri="{FF2B5EF4-FFF2-40B4-BE49-F238E27FC236}">
              <a16:creationId xmlns:a16="http://schemas.microsoft.com/office/drawing/2014/main" id="{F63BBA56-D1B3-2EFA-6320-FD4E86DBF74A}"/>
            </a:ext>
          </a:extLst>
        </xdr:cNvPr>
        <xdr:cNvSpPr txBox="1"/>
      </xdr:nvSpPr>
      <xdr:spPr>
        <a:xfrm>
          <a:off x="388613" y="5575575"/>
          <a:ext cx="68743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r>
            <a:rPr lang="en-IN" sz="1200" b="1">
              <a:solidFill>
                <a:schemeClr val="bg2"/>
              </a:solidFill>
              <a:latin typeface="Kulim park"/>
            </a:rPr>
            <a:t>Remote</a:t>
          </a:r>
        </a:p>
      </xdr:txBody>
    </xdr:sp>
    <xdr:clientData/>
  </xdr:oneCellAnchor>
  <xdr:oneCellAnchor>
    <xdr:from>
      <xdr:col>5</xdr:col>
      <xdr:colOff>565355</xdr:colOff>
      <xdr:row>29</xdr:row>
      <xdr:rowOff>78902</xdr:rowOff>
    </xdr:from>
    <xdr:ext cx="449394" cy="264560"/>
    <xdr:sp macro="" textlink="PivotTables!N16">
      <xdr:nvSpPr>
        <xdr:cNvPr id="11" name="TextBox 10">
          <a:extLst>
            <a:ext uri="{FF2B5EF4-FFF2-40B4-BE49-F238E27FC236}">
              <a16:creationId xmlns:a16="http://schemas.microsoft.com/office/drawing/2014/main" id="{D0AA8353-8B07-7536-133F-F1FE8FEB2B74}"/>
            </a:ext>
          </a:extLst>
        </xdr:cNvPr>
        <xdr:cNvSpPr txBox="1"/>
      </xdr:nvSpPr>
      <xdr:spPr>
        <a:xfrm>
          <a:off x="1776204" y="5151943"/>
          <a:ext cx="4493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fld id="{CA6ED71A-3233-4C8E-BA57-4CB2C72E8753}" type="TxLink">
            <a:rPr lang="en-US" sz="1100" b="1" i="0" u="none" strike="noStrike">
              <a:solidFill>
                <a:schemeClr val="bg1">
                  <a:lumMod val="95000"/>
                </a:schemeClr>
              </a:solidFill>
              <a:latin typeface="Kulim park"/>
            </a:rPr>
            <a:pPr algn="l"/>
            <a:t>46%</a:t>
          </a:fld>
          <a:endParaRPr lang="en-IN" sz="1200" b="1">
            <a:solidFill>
              <a:schemeClr val="bg1">
                <a:lumMod val="95000"/>
              </a:schemeClr>
            </a:solidFill>
            <a:latin typeface="Kulim park"/>
          </a:endParaRPr>
        </a:p>
      </xdr:txBody>
    </xdr:sp>
    <xdr:clientData/>
  </xdr:oneCellAnchor>
  <xdr:oneCellAnchor>
    <xdr:from>
      <xdr:col>5</xdr:col>
      <xdr:colOff>567859</xdr:colOff>
      <xdr:row>31</xdr:row>
      <xdr:rowOff>160521</xdr:rowOff>
    </xdr:from>
    <xdr:ext cx="430502" cy="264560"/>
    <xdr:sp macro="" textlink="PivotTables!N17">
      <xdr:nvSpPr>
        <xdr:cNvPr id="12" name="TextBox 11">
          <a:extLst>
            <a:ext uri="{FF2B5EF4-FFF2-40B4-BE49-F238E27FC236}">
              <a16:creationId xmlns:a16="http://schemas.microsoft.com/office/drawing/2014/main" id="{1A21A411-0FB0-B8F5-23D9-494D1F521D4F}"/>
            </a:ext>
          </a:extLst>
        </xdr:cNvPr>
        <xdr:cNvSpPr txBox="1"/>
      </xdr:nvSpPr>
      <xdr:spPr>
        <a:xfrm>
          <a:off x="3597498" y="5852569"/>
          <a:ext cx="4305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fld id="{C1CEE483-377D-43D2-8A49-E939CCFD3CAD}" type="TxLink">
            <a:rPr lang="en-US" sz="1100" b="1" i="0" u="none" strike="noStrike" baseline="0">
              <a:solidFill>
                <a:schemeClr val="bg1">
                  <a:lumMod val="95000"/>
                </a:schemeClr>
              </a:solidFill>
              <a:latin typeface="Kulim park"/>
            </a:rPr>
            <a:pPr algn="l"/>
            <a:t>16%</a:t>
          </a:fld>
          <a:endParaRPr lang="en-IN" sz="1200" b="1">
            <a:solidFill>
              <a:schemeClr val="bg1">
                <a:lumMod val="95000"/>
              </a:schemeClr>
            </a:solidFill>
            <a:latin typeface="Kulim park"/>
          </a:endParaRPr>
        </a:p>
      </xdr:txBody>
    </xdr:sp>
    <xdr:clientData/>
  </xdr:oneCellAnchor>
  <xdr:oneCellAnchor>
    <xdr:from>
      <xdr:col>5</xdr:col>
      <xdr:colOff>552930</xdr:colOff>
      <xdr:row>33</xdr:row>
      <xdr:rowOff>175955</xdr:rowOff>
    </xdr:from>
    <xdr:ext cx="430502" cy="264560"/>
    <xdr:sp macro="" textlink="PivotTables!N18">
      <xdr:nvSpPr>
        <xdr:cNvPr id="14" name="TextBox 13">
          <a:extLst>
            <a:ext uri="{FF2B5EF4-FFF2-40B4-BE49-F238E27FC236}">
              <a16:creationId xmlns:a16="http://schemas.microsoft.com/office/drawing/2014/main" id="{F213FE2C-8CD2-D36D-5F0A-0251971048DC}"/>
            </a:ext>
          </a:extLst>
        </xdr:cNvPr>
        <xdr:cNvSpPr txBox="1"/>
      </xdr:nvSpPr>
      <xdr:spPr>
        <a:xfrm>
          <a:off x="3582569" y="6235232"/>
          <a:ext cx="4305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l"/>
          <a:fld id="{093B7BE1-372E-46A3-B08D-2228EC787E8F}" type="TxLink">
            <a:rPr lang="en-US" sz="1100" b="1" i="0" u="none" strike="noStrike">
              <a:solidFill>
                <a:schemeClr val="bg1">
                  <a:lumMod val="95000"/>
                </a:schemeClr>
              </a:solidFill>
              <a:latin typeface="Kulim park"/>
            </a:rPr>
            <a:pPr algn="l"/>
            <a:t>38%</a:t>
          </a:fld>
          <a:endParaRPr lang="en-IN" sz="1200" b="1">
            <a:solidFill>
              <a:schemeClr val="bg1">
                <a:lumMod val="95000"/>
              </a:schemeClr>
            </a:solidFill>
            <a:latin typeface="Kulim park"/>
          </a:endParaRPr>
        </a:p>
      </xdr:txBody>
    </xdr:sp>
    <xdr:clientData/>
  </xdr:oneCellAnchor>
  <xdr:oneCellAnchor>
    <xdr:from>
      <xdr:col>3</xdr:col>
      <xdr:colOff>387952</xdr:colOff>
      <xdr:row>26</xdr:row>
      <xdr:rowOff>53605</xdr:rowOff>
    </xdr:from>
    <xdr:ext cx="1269899" cy="311496"/>
    <xdr:sp macro="" textlink="">
      <xdr:nvSpPr>
        <xdr:cNvPr id="15" name="TextBox 14">
          <a:extLst>
            <a:ext uri="{FF2B5EF4-FFF2-40B4-BE49-F238E27FC236}">
              <a16:creationId xmlns:a16="http://schemas.microsoft.com/office/drawing/2014/main" id="{73D5F75A-329C-4034-BC1C-162176DAA265}"/>
            </a:ext>
          </a:extLst>
        </xdr:cNvPr>
        <xdr:cNvSpPr txBox="1"/>
      </xdr:nvSpPr>
      <xdr:spPr>
        <a:xfrm>
          <a:off x="387952" y="4451985"/>
          <a:ext cx="126989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accent2">
                  <a:lumMod val="60000"/>
                  <a:lumOff val="40000"/>
                </a:schemeClr>
              </a:solidFill>
              <a:latin typeface="Kulim park"/>
            </a:rPr>
            <a:t>Work</a:t>
          </a:r>
          <a:r>
            <a:rPr lang="en-IN" sz="1400" b="1" baseline="0">
              <a:solidFill>
                <a:schemeClr val="accent2">
                  <a:lumMod val="60000"/>
                  <a:lumOff val="40000"/>
                </a:schemeClr>
              </a:solidFill>
              <a:latin typeface="Kulim park"/>
            </a:rPr>
            <a:t> Location</a:t>
          </a:r>
          <a:endParaRPr lang="en-IN" sz="1400" b="1">
            <a:solidFill>
              <a:schemeClr val="accent2">
                <a:lumMod val="60000"/>
                <a:lumOff val="40000"/>
              </a:schemeClr>
            </a:solidFill>
            <a:latin typeface="Kulim park"/>
          </a:endParaRPr>
        </a:p>
      </xdr:txBody>
    </xdr:sp>
    <xdr:clientData/>
  </xdr:oneCellAnchor>
  <xdr:oneCellAnchor>
    <xdr:from>
      <xdr:col>3</xdr:col>
      <xdr:colOff>403038</xdr:colOff>
      <xdr:row>27</xdr:row>
      <xdr:rowOff>92267</xdr:rowOff>
    </xdr:from>
    <xdr:ext cx="1435393" cy="405367"/>
    <xdr:sp macro="" textlink="">
      <xdr:nvSpPr>
        <xdr:cNvPr id="16" name="TextBox 15">
          <a:extLst>
            <a:ext uri="{FF2B5EF4-FFF2-40B4-BE49-F238E27FC236}">
              <a16:creationId xmlns:a16="http://schemas.microsoft.com/office/drawing/2014/main" id="{22647478-008F-270E-BF7B-48883B8A1AB1}"/>
            </a:ext>
          </a:extLst>
        </xdr:cNvPr>
        <xdr:cNvSpPr txBox="1"/>
      </xdr:nvSpPr>
      <xdr:spPr>
        <a:xfrm>
          <a:off x="403038" y="4574620"/>
          <a:ext cx="1435393"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baseline="0">
              <a:solidFill>
                <a:schemeClr val="bg1">
                  <a:lumMod val="65000"/>
                </a:schemeClr>
              </a:solidFill>
              <a:latin typeface="Kulim park"/>
            </a:rPr>
            <a:t>Employee to workplace</a:t>
          </a:r>
        </a:p>
        <a:p>
          <a:endParaRPr lang="en-IN" sz="1000" b="1" baseline="0">
            <a:solidFill>
              <a:schemeClr val="bg1">
                <a:lumMod val="65000"/>
              </a:schemeClr>
            </a:solidFill>
            <a:latin typeface="Kulim park"/>
          </a:endParaRPr>
        </a:p>
      </xdr:txBody>
    </xdr:sp>
    <xdr:clientData/>
  </xdr:oneCellAnchor>
  <xdr:oneCellAnchor>
    <xdr:from>
      <xdr:col>3</xdr:col>
      <xdr:colOff>388371</xdr:colOff>
      <xdr:row>17</xdr:row>
      <xdr:rowOff>121185</xdr:rowOff>
    </xdr:from>
    <xdr:ext cx="1198854" cy="280205"/>
    <xdr:sp macro="" textlink="">
      <xdr:nvSpPr>
        <xdr:cNvPr id="37" name="TextBox 36">
          <a:extLst>
            <a:ext uri="{FF2B5EF4-FFF2-40B4-BE49-F238E27FC236}">
              <a16:creationId xmlns:a16="http://schemas.microsoft.com/office/drawing/2014/main" id="{F92DC762-E1A5-7948-BDEC-2A5D5E20D0D6}"/>
            </a:ext>
          </a:extLst>
        </xdr:cNvPr>
        <xdr:cNvSpPr txBox="1"/>
      </xdr:nvSpPr>
      <xdr:spPr>
        <a:xfrm>
          <a:off x="388371" y="2870172"/>
          <a:ext cx="119885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2"/>
              </a:solidFill>
              <a:latin typeface="Kulim park"/>
            </a:rPr>
            <a:t>Communication</a:t>
          </a:r>
        </a:p>
      </xdr:txBody>
    </xdr:sp>
    <xdr:clientData/>
  </xdr:oneCellAnchor>
  <xdr:oneCellAnchor>
    <xdr:from>
      <xdr:col>3</xdr:col>
      <xdr:colOff>388371</xdr:colOff>
      <xdr:row>19</xdr:row>
      <xdr:rowOff>21584</xdr:rowOff>
    </xdr:from>
    <xdr:ext cx="604781" cy="280205"/>
    <xdr:sp macro="" textlink="">
      <xdr:nvSpPr>
        <xdr:cNvPr id="46" name="TextBox 45">
          <a:extLst>
            <a:ext uri="{FF2B5EF4-FFF2-40B4-BE49-F238E27FC236}">
              <a16:creationId xmlns:a16="http://schemas.microsoft.com/office/drawing/2014/main" id="{C41A0801-9AB8-A42A-F030-B4F70B2EA901}"/>
            </a:ext>
          </a:extLst>
        </xdr:cNvPr>
        <xdr:cNvSpPr txBox="1"/>
      </xdr:nvSpPr>
      <xdr:spPr>
        <a:xfrm>
          <a:off x="388371" y="3137103"/>
          <a:ext cx="60478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2"/>
              </a:solidFill>
              <a:latin typeface="Kulim park"/>
            </a:rPr>
            <a:t>Design</a:t>
          </a:r>
        </a:p>
      </xdr:txBody>
    </xdr:sp>
    <xdr:clientData/>
  </xdr:oneCellAnchor>
  <xdr:oneCellAnchor>
    <xdr:from>
      <xdr:col>3</xdr:col>
      <xdr:colOff>388371</xdr:colOff>
      <xdr:row>20</xdr:row>
      <xdr:rowOff>102958</xdr:rowOff>
    </xdr:from>
    <xdr:ext cx="503408" cy="280205"/>
    <xdr:sp macro="" textlink="">
      <xdr:nvSpPr>
        <xdr:cNvPr id="47" name="TextBox 46">
          <a:extLst>
            <a:ext uri="{FF2B5EF4-FFF2-40B4-BE49-F238E27FC236}">
              <a16:creationId xmlns:a16="http://schemas.microsoft.com/office/drawing/2014/main" id="{92CDED5F-AFA2-2D09-0C19-5385F5759739}"/>
            </a:ext>
          </a:extLst>
        </xdr:cNvPr>
        <xdr:cNvSpPr txBox="1"/>
      </xdr:nvSpPr>
      <xdr:spPr>
        <a:xfrm>
          <a:off x="388371" y="3401743"/>
          <a:ext cx="50340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2"/>
              </a:solidFill>
              <a:latin typeface="Kulim park"/>
            </a:rPr>
            <a:t>Excel</a:t>
          </a:r>
        </a:p>
      </xdr:txBody>
    </xdr:sp>
    <xdr:clientData/>
  </xdr:oneCellAnchor>
  <xdr:oneCellAnchor>
    <xdr:from>
      <xdr:col>3</xdr:col>
      <xdr:colOff>388371</xdr:colOff>
      <xdr:row>21</xdr:row>
      <xdr:rowOff>181486</xdr:rowOff>
    </xdr:from>
    <xdr:ext cx="1025474" cy="280205"/>
    <xdr:sp macro="" textlink="">
      <xdr:nvSpPr>
        <xdr:cNvPr id="48" name="TextBox 47">
          <a:extLst>
            <a:ext uri="{FF2B5EF4-FFF2-40B4-BE49-F238E27FC236}">
              <a16:creationId xmlns:a16="http://schemas.microsoft.com/office/drawing/2014/main" id="{E5085245-2BBC-3C48-313D-ADF5AFBCB2FB}"/>
            </a:ext>
          </a:extLst>
        </xdr:cNvPr>
        <xdr:cNvSpPr txBox="1"/>
      </xdr:nvSpPr>
      <xdr:spPr>
        <a:xfrm>
          <a:off x="388371" y="3663537"/>
          <a:ext cx="102547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2"/>
              </a:solidFill>
              <a:latin typeface="Kulim park"/>
            </a:rPr>
            <a:t>Management</a:t>
          </a:r>
        </a:p>
      </xdr:txBody>
    </xdr:sp>
    <xdr:clientData/>
  </xdr:oneCellAnchor>
  <xdr:oneCellAnchor>
    <xdr:from>
      <xdr:col>3</xdr:col>
      <xdr:colOff>388371</xdr:colOff>
      <xdr:row>23</xdr:row>
      <xdr:rowOff>84731</xdr:rowOff>
    </xdr:from>
    <xdr:ext cx="628249" cy="280205"/>
    <xdr:sp macro="" textlink="">
      <xdr:nvSpPr>
        <xdr:cNvPr id="49" name="TextBox 48">
          <a:extLst>
            <a:ext uri="{FF2B5EF4-FFF2-40B4-BE49-F238E27FC236}">
              <a16:creationId xmlns:a16="http://schemas.microsoft.com/office/drawing/2014/main" id="{B7F24441-4D0C-26EF-DB02-1932DE1A5686}"/>
            </a:ext>
          </a:extLst>
        </xdr:cNvPr>
        <xdr:cNvSpPr txBox="1"/>
      </xdr:nvSpPr>
      <xdr:spPr>
        <a:xfrm>
          <a:off x="388371" y="3933313"/>
          <a:ext cx="62824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2"/>
              </a:solidFill>
              <a:latin typeface="Kulim park"/>
            </a:rPr>
            <a:t>Python</a:t>
          </a:r>
        </a:p>
      </xdr:txBody>
    </xdr:sp>
    <xdr:clientData/>
  </xdr:oneCellAnchor>
  <xdr:oneCellAnchor>
    <xdr:from>
      <xdr:col>5</xdr:col>
      <xdr:colOff>578952</xdr:colOff>
      <xdr:row>17</xdr:row>
      <xdr:rowOff>101643</xdr:rowOff>
    </xdr:from>
    <xdr:ext cx="262636" cy="280205"/>
    <xdr:sp macro="" textlink="PivotTables!R11">
      <xdr:nvSpPr>
        <xdr:cNvPr id="50" name="TextBox 49">
          <a:extLst>
            <a:ext uri="{FF2B5EF4-FFF2-40B4-BE49-F238E27FC236}">
              <a16:creationId xmlns:a16="http://schemas.microsoft.com/office/drawing/2014/main" id="{187C9F20-8C72-B6B1-28C4-E8E9686AC023}"/>
            </a:ext>
          </a:extLst>
        </xdr:cNvPr>
        <xdr:cNvSpPr txBox="1"/>
      </xdr:nvSpPr>
      <xdr:spPr>
        <a:xfrm>
          <a:off x="1801915" y="2782754"/>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fld id="{B9450978-9DAE-4223-B771-C52694AE49B7}" type="TxLink">
            <a:rPr lang="en-US" sz="1200" b="1" i="0" u="none" strike="noStrike">
              <a:solidFill>
                <a:schemeClr val="accent2">
                  <a:lumMod val="60000"/>
                  <a:lumOff val="40000"/>
                </a:schemeClr>
              </a:solidFill>
              <a:latin typeface="Kulim park"/>
            </a:rPr>
            <a:pPr algn="r"/>
            <a:t>12</a:t>
          </a:fld>
          <a:endParaRPr lang="en-IN" sz="1400" b="1">
            <a:solidFill>
              <a:schemeClr val="accent2">
                <a:lumMod val="60000"/>
                <a:lumOff val="40000"/>
              </a:schemeClr>
            </a:solidFill>
            <a:latin typeface="Kulim park"/>
          </a:endParaRPr>
        </a:p>
      </xdr:txBody>
    </xdr:sp>
    <xdr:clientData/>
  </xdr:oneCellAnchor>
  <xdr:oneCellAnchor>
    <xdr:from>
      <xdr:col>5</xdr:col>
      <xdr:colOff>578952</xdr:colOff>
      <xdr:row>19</xdr:row>
      <xdr:rowOff>2042</xdr:rowOff>
    </xdr:from>
    <xdr:ext cx="262636" cy="280205"/>
    <xdr:sp macro="" textlink="PivotTables!R12">
      <xdr:nvSpPr>
        <xdr:cNvPr id="51" name="TextBox 50">
          <a:extLst>
            <a:ext uri="{FF2B5EF4-FFF2-40B4-BE49-F238E27FC236}">
              <a16:creationId xmlns:a16="http://schemas.microsoft.com/office/drawing/2014/main" id="{CDE54F8F-916D-8F78-099B-DD43F73EE2BD}"/>
            </a:ext>
          </a:extLst>
        </xdr:cNvPr>
        <xdr:cNvSpPr txBox="1"/>
      </xdr:nvSpPr>
      <xdr:spPr>
        <a:xfrm>
          <a:off x="1801915" y="3040635"/>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fld id="{5AD77D60-7317-4A36-A61B-8944D3701970}" type="TxLink">
            <a:rPr lang="en-US" sz="1200" b="1" i="0" u="none" strike="noStrike">
              <a:solidFill>
                <a:schemeClr val="accent2">
                  <a:lumMod val="60000"/>
                  <a:lumOff val="40000"/>
                </a:schemeClr>
              </a:solidFill>
              <a:latin typeface="Kulim park"/>
            </a:rPr>
            <a:pPr algn="r"/>
            <a:t>11</a:t>
          </a:fld>
          <a:endParaRPr lang="en-IN" sz="1400" b="1">
            <a:solidFill>
              <a:schemeClr val="accent2">
                <a:lumMod val="60000"/>
                <a:lumOff val="40000"/>
              </a:schemeClr>
            </a:solidFill>
            <a:latin typeface="Kulim park"/>
          </a:endParaRPr>
        </a:p>
      </xdr:txBody>
    </xdr:sp>
    <xdr:clientData/>
  </xdr:oneCellAnchor>
  <xdr:oneCellAnchor>
    <xdr:from>
      <xdr:col>5</xdr:col>
      <xdr:colOff>578952</xdr:colOff>
      <xdr:row>20</xdr:row>
      <xdr:rowOff>83416</xdr:rowOff>
    </xdr:from>
    <xdr:ext cx="262636" cy="280205"/>
    <xdr:sp macro="" textlink="PivotTables!R13">
      <xdr:nvSpPr>
        <xdr:cNvPr id="52" name="TextBox 51">
          <a:extLst>
            <a:ext uri="{FF2B5EF4-FFF2-40B4-BE49-F238E27FC236}">
              <a16:creationId xmlns:a16="http://schemas.microsoft.com/office/drawing/2014/main" id="{659CE0C9-353E-7802-F989-2B1B3D256323}"/>
            </a:ext>
          </a:extLst>
        </xdr:cNvPr>
        <xdr:cNvSpPr txBox="1"/>
      </xdr:nvSpPr>
      <xdr:spPr>
        <a:xfrm>
          <a:off x="1794821" y="3381252"/>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9F16F0A-5310-4C72-BDB6-E6A8FDC79368}" type="TxLink">
            <a:rPr lang="en-US" sz="1200" b="1" i="0" u="none" strike="noStrike">
              <a:solidFill>
                <a:schemeClr val="accent2">
                  <a:lumMod val="60000"/>
                  <a:lumOff val="40000"/>
                </a:schemeClr>
              </a:solidFill>
              <a:latin typeface="Kulim park"/>
            </a:rPr>
            <a:pPr/>
            <a:t>7</a:t>
          </a:fld>
          <a:endParaRPr lang="en-IN" sz="1400" b="1">
            <a:solidFill>
              <a:schemeClr val="accent2">
                <a:lumMod val="60000"/>
                <a:lumOff val="40000"/>
              </a:schemeClr>
            </a:solidFill>
            <a:latin typeface="Kulim park"/>
          </a:endParaRPr>
        </a:p>
      </xdr:txBody>
    </xdr:sp>
    <xdr:clientData/>
  </xdr:oneCellAnchor>
  <xdr:oneCellAnchor>
    <xdr:from>
      <xdr:col>5</xdr:col>
      <xdr:colOff>578952</xdr:colOff>
      <xdr:row>21</xdr:row>
      <xdr:rowOff>161944</xdr:rowOff>
    </xdr:from>
    <xdr:ext cx="262636" cy="280205"/>
    <xdr:sp macro="" textlink="PivotTables!R14">
      <xdr:nvSpPr>
        <xdr:cNvPr id="53" name="TextBox 52">
          <a:extLst>
            <a:ext uri="{FF2B5EF4-FFF2-40B4-BE49-F238E27FC236}">
              <a16:creationId xmlns:a16="http://schemas.microsoft.com/office/drawing/2014/main" id="{ED2D06F3-AE75-6ED6-53ED-DFF32D6AE620}"/>
            </a:ext>
          </a:extLst>
        </xdr:cNvPr>
        <xdr:cNvSpPr txBox="1"/>
      </xdr:nvSpPr>
      <xdr:spPr>
        <a:xfrm>
          <a:off x="1801915" y="3558018"/>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fld id="{021327E8-CCB2-4271-8689-A90422A22433}" type="TxLink">
            <a:rPr lang="en-US" sz="1200" b="1" i="0" u="none" strike="noStrike">
              <a:solidFill>
                <a:schemeClr val="accent2">
                  <a:lumMod val="60000"/>
                  <a:lumOff val="40000"/>
                </a:schemeClr>
              </a:solidFill>
              <a:latin typeface="Kulim park"/>
            </a:rPr>
            <a:pPr algn="r"/>
            <a:t>11</a:t>
          </a:fld>
          <a:endParaRPr lang="en-IN" sz="1400" b="1">
            <a:solidFill>
              <a:schemeClr val="accent2">
                <a:lumMod val="60000"/>
                <a:lumOff val="40000"/>
              </a:schemeClr>
            </a:solidFill>
            <a:latin typeface="Kulim park"/>
          </a:endParaRPr>
        </a:p>
      </xdr:txBody>
    </xdr:sp>
    <xdr:clientData/>
  </xdr:oneCellAnchor>
  <xdr:oneCellAnchor>
    <xdr:from>
      <xdr:col>5</xdr:col>
      <xdr:colOff>578952</xdr:colOff>
      <xdr:row>23</xdr:row>
      <xdr:rowOff>65189</xdr:rowOff>
    </xdr:from>
    <xdr:ext cx="262636" cy="280205"/>
    <xdr:sp macro="" textlink="PivotTables!R15">
      <xdr:nvSpPr>
        <xdr:cNvPr id="57" name="TextBox 56">
          <a:extLst>
            <a:ext uri="{FF2B5EF4-FFF2-40B4-BE49-F238E27FC236}">
              <a16:creationId xmlns:a16="http://schemas.microsoft.com/office/drawing/2014/main" id="{44F2DBAC-2B38-EB8A-DAF4-BA7E634D224F}"/>
            </a:ext>
          </a:extLst>
        </xdr:cNvPr>
        <xdr:cNvSpPr txBox="1"/>
      </xdr:nvSpPr>
      <xdr:spPr>
        <a:xfrm>
          <a:off x="1794821" y="3912664"/>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fld id="{739A15B1-7319-4DE0-B2AD-92CCF5BDE4A7}" type="TxLink">
            <a:rPr lang="en-US" sz="1200" b="1" i="0" u="none" strike="noStrike">
              <a:solidFill>
                <a:schemeClr val="accent2">
                  <a:lumMod val="60000"/>
                  <a:lumOff val="40000"/>
                </a:schemeClr>
              </a:solidFill>
              <a:latin typeface="Kulim park"/>
            </a:rPr>
            <a:pPr algn="r"/>
            <a:t>9</a:t>
          </a:fld>
          <a:endParaRPr lang="en-IN" sz="1400" b="1">
            <a:solidFill>
              <a:schemeClr val="accent2">
                <a:lumMod val="60000"/>
                <a:lumOff val="40000"/>
              </a:schemeClr>
            </a:solidFill>
            <a:latin typeface="Kulim park"/>
          </a:endParaRPr>
        </a:p>
      </xdr:txBody>
    </xdr:sp>
    <xdr:clientData/>
  </xdr:oneCellAnchor>
  <xdr:oneCellAnchor>
    <xdr:from>
      <xdr:col>3</xdr:col>
      <xdr:colOff>373049</xdr:colOff>
      <xdr:row>14</xdr:row>
      <xdr:rowOff>135527</xdr:rowOff>
    </xdr:from>
    <xdr:ext cx="1199687" cy="593239"/>
    <xdr:sp macro="" textlink="">
      <xdr:nvSpPr>
        <xdr:cNvPr id="75" name="TextBox 74">
          <a:extLst>
            <a:ext uri="{FF2B5EF4-FFF2-40B4-BE49-F238E27FC236}">
              <a16:creationId xmlns:a16="http://schemas.microsoft.com/office/drawing/2014/main" id="{4C674AA6-6102-0F9F-6118-065920359D7B}"/>
            </a:ext>
          </a:extLst>
        </xdr:cNvPr>
        <xdr:cNvSpPr txBox="1"/>
      </xdr:nvSpPr>
      <xdr:spPr>
        <a:xfrm>
          <a:off x="373049" y="2334717"/>
          <a:ext cx="1199687"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accent2">
                  <a:lumMod val="60000"/>
                  <a:lumOff val="40000"/>
                </a:schemeClr>
              </a:solidFill>
              <a:latin typeface="Kulim park"/>
            </a:rPr>
            <a:t>Skills</a:t>
          </a:r>
          <a:endParaRPr lang="en-IN" sz="1400" b="1">
            <a:solidFill>
              <a:schemeClr val="accent2">
                <a:lumMod val="60000"/>
                <a:lumOff val="40000"/>
              </a:schemeClr>
            </a:solidFill>
            <a:latin typeface="Kulim park"/>
          </a:endParaRPr>
        </a:p>
        <a:p>
          <a:r>
            <a:rPr lang="en-IN" sz="1600" b="1">
              <a:solidFill>
                <a:schemeClr val="accent2">
                  <a:lumMod val="60000"/>
                  <a:lumOff val="40000"/>
                </a:schemeClr>
              </a:solidFill>
              <a:latin typeface="Kulim park"/>
            </a:rPr>
            <a:t>Breakdown</a:t>
          </a:r>
          <a:r>
            <a:rPr lang="en-IN" sz="1400" b="1">
              <a:solidFill>
                <a:schemeClr val="accent2">
                  <a:lumMod val="60000"/>
                  <a:lumOff val="40000"/>
                </a:schemeClr>
              </a:solidFill>
              <a:latin typeface="Kulim park"/>
            </a:rPr>
            <a:t> </a:t>
          </a:r>
        </a:p>
      </xdr:txBody>
    </xdr:sp>
    <xdr:clientData/>
  </xdr:oneCellAnchor>
  <xdr:twoCellAnchor editAs="oneCell">
    <xdr:from>
      <xdr:col>4</xdr:col>
      <xdr:colOff>24737</xdr:colOff>
      <xdr:row>9</xdr:row>
      <xdr:rowOff>160438</xdr:rowOff>
    </xdr:from>
    <xdr:to>
      <xdr:col>6</xdr:col>
      <xdr:colOff>31314</xdr:colOff>
      <xdr:row>16</xdr:row>
      <xdr:rowOff>62632</xdr:rowOff>
    </xdr:to>
    <xdr:pic>
      <xdr:nvPicPr>
        <xdr:cNvPr id="17" name="Graphic 16" descr="Connections with solid fill">
          <a:extLst>
            <a:ext uri="{FF2B5EF4-FFF2-40B4-BE49-F238E27FC236}">
              <a16:creationId xmlns:a16="http://schemas.microsoft.com/office/drawing/2014/main" id="{61F56FDF-796D-DD0C-11D5-B73639DA8F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632408" y="1443299"/>
          <a:ext cx="1221919" cy="1185054"/>
        </a:xfrm>
        <a:prstGeom prst="rect">
          <a:avLst/>
        </a:prstGeom>
      </xdr:spPr>
    </xdr:pic>
    <xdr:clientData/>
  </xdr:twoCellAnchor>
  <xdr:oneCellAnchor>
    <xdr:from>
      <xdr:col>6</xdr:col>
      <xdr:colOff>605072</xdr:colOff>
      <xdr:row>9</xdr:row>
      <xdr:rowOff>32729</xdr:rowOff>
    </xdr:from>
    <xdr:ext cx="1969450" cy="374141"/>
    <xdr:sp macro="" textlink="">
      <xdr:nvSpPr>
        <xdr:cNvPr id="80" name="TextBox 79">
          <a:extLst>
            <a:ext uri="{FF2B5EF4-FFF2-40B4-BE49-F238E27FC236}">
              <a16:creationId xmlns:a16="http://schemas.microsoft.com/office/drawing/2014/main" id="{B6F1CE77-C2B7-5C49-BAB9-05437E44FC17}"/>
            </a:ext>
          </a:extLst>
        </xdr:cNvPr>
        <xdr:cNvSpPr txBox="1"/>
      </xdr:nvSpPr>
      <xdr:spPr>
        <a:xfrm>
          <a:off x="2428085" y="1315590"/>
          <a:ext cx="19694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2">
                  <a:lumMod val="60000"/>
                  <a:lumOff val="40000"/>
                </a:schemeClr>
              </a:solidFill>
              <a:latin typeface="Kulim park"/>
            </a:rPr>
            <a:t>Employee</a:t>
          </a:r>
          <a:r>
            <a:rPr lang="en-IN" sz="1800" b="1" baseline="0">
              <a:solidFill>
                <a:schemeClr val="accent2">
                  <a:lumMod val="60000"/>
                  <a:lumOff val="40000"/>
                </a:schemeClr>
              </a:solidFill>
              <a:latin typeface="Kulim park"/>
            </a:rPr>
            <a:t> Number</a:t>
          </a:r>
          <a:endParaRPr lang="en-IN" sz="1800" b="1">
            <a:solidFill>
              <a:schemeClr val="accent2">
                <a:lumMod val="60000"/>
                <a:lumOff val="40000"/>
              </a:schemeClr>
            </a:solidFill>
            <a:latin typeface="Kulim park"/>
          </a:endParaRPr>
        </a:p>
      </xdr:txBody>
    </xdr:sp>
    <xdr:clientData/>
  </xdr:oneCellAnchor>
  <xdr:oneCellAnchor>
    <xdr:from>
      <xdr:col>6</xdr:col>
      <xdr:colOff>494213</xdr:colOff>
      <xdr:row>13</xdr:row>
      <xdr:rowOff>137113</xdr:rowOff>
    </xdr:from>
    <xdr:ext cx="1413720" cy="311496"/>
    <xdr:sp macro="" textlink="">
      <xdr:nvSpPr>
        <xdr:cNvPr id="81" name="TextBox 80">
          <a:extLst>
            <a:ext uri="{FF2B5EF4-FFF2-40B4-BE49-F238E27FC236}">
              <a16:creationId xmlns:a16="http://schemas.microsoft.com/office/drawing/2014/main" id="{ABEF44B9-3BB5-99A8-CDB7-A2157D380B3E}"/>
            </a:ext>
          </a:extLst>
        </xdr:cNvPr>
        <xdr:cNvSpPr txBox="1"/>
      </xdr:nvSpPr>
      <xdr:spPr>
        <a:xfrm>
          <a:off x="2317226" y="2153037"/>
          <a:ext cx="14137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lumMod val="95000"/>
                </a:schemeClr>
              </a:solidFill>
              <a:latin typeface="Kulim park"/>
            </a:rPr>
            <a:t>Total</a:t>
          </a:r>
          <a:r>
            <a:rPr lang="en-IN" sz="1400" b="1" baseline="0">
              <a:solidFill>
                <a:schemeClr val="bg1">
                  <a:lumMod val="95000"/>
                </a:schemeClr>
              </a:solidFill>
              <a:latin typeface="Kulim park"/>
            </a:rPr>
            <a:t> Employees</a:t>
          </a:r>
          <a:endParaRPr lang="en-IN" sz="1400" b="1">
            <a:solidFill>
              <a:schemeClr val="bg1">
                <a:lumMod val="95000"/>
              </a:schemeClr>
            </a:solidFill>
            <a:latin typeface="Kulim park"/>
          </a:endParaRPr>
        </a:p>
      </xdr:txBody>
    </xdr:sp>
    <xdr:clientData/>
  </xdr:oneCellAnchor>
  <xdr:twoCellAnchor>
    <xdr:from>
      <xdr:col>7</xdr:col>
      <xdr:colOff>13421</xdr:colOff>
      <xdr:row>10</xdr:row>
      <xdr:rowOff>147080</xdr:rowOff>
    </xdr:from>
    <xdr:to>
      <xdr:col>8</xdr:col>
      <xdr:colOff>323588</xdr:colOff>
      <xdr:row>14</xdr:row>
      <xdr:rowOff>41754</xdr:rowOff>
    </xdr:to>
    <xdr:sp macro="" textlink="PivotTables!J21">
      <xdr:nvSpPr>
        <xdr:cNvPr id="82" name="TextBox 81">
          <a:extLst>
            <a:ext uri="{FF2B5EF4-FFF2-40B4-BE49-F238E27FC236}">
              <a16:creationId xmlns:a16="http://schemas.microsoft.com/office/drawing/2014/main" id="{0F78F7D1-8078-FB88-D986-2E28A37C555E}"/>
            </a:ext>
          </a:extLst>
        </xdr:cNvPr>
        <xdr:cNvSpPr txBox="1"/>
      </xdr:nvSpPr>
      <xdr:spPr>
        <a:xfrm>
          <a:off x="2435120" y="1650203"/>
          <a:ext cx="915591" cy="646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FEBC62-7666-4284-9C6C-0A58820BBD2D}" type="TxLink">
            <a:rPr lang="en-US" sz="4000" b="1" i="0" u="none" strike="noStrike">
              <a:solidFill>
                <a:schemeClr val="bg1">
                  <a:lumMod val="95000"/>
                </a:schemeClr>
              </a:solidFill>
              <a:latin typeface="Kulim park"/>
            </a:rPr>
            <a:pPr/>
            <a:t>50</a:t>
          </a:fld>
          <a:endParaRPr lang="en-IN" sz="8800" b="1">
            <a:solidFill>
              <a:schemeClr val="bg1">
                <a:lumMod val="95000"/>
              </a:schemeClr>
            </a:solidFill>
            <a:latin typeface="Kulim park"/>
          </a:endParaRPr>
        </a:p>
      </xdr:txBody>
    </xdr:sp>
    <xdr:clientData/>
  </xdr:twoCellAnchor>
  <xdr:twoCellAnchor editAs="oneCell">
    <xdr:from>
      <xdr:col>9</xdr:col>
      <xdr:colOff>20876</xdr:colOff>
      <xdr:row>10</xdr:row>
      <xdr:rowOff>93946</xdr:rowOff>
    </xdr:from>
    <xdr:to>
      <xdr:col>10</xdr:col>
      <xdr:colOff>329851</xdr:colOff>
      <xdr:row>15</xdr:row>
      <xdr:rowOff>68894</xdr:rowOff>
    </xdr:to>
    <xdr:pic>
      <xdr:nvPicPr>
        <xdr:cNvPr id="84" name="Graphic 83" descr="Users with solid fill">
          <a:extLst>
            <a:ext uri="{FF2B5EF4-FFF2-40B4-BE49-F238E27FC236}">
              <a16:creationId xmlns:a16="http://schemas.microsoft.com/office/drawing/2014/main" id="{22786F23-8A7C-9CFE-8D32-984C4E3EB69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53424" y="1597069"/>
          <a:ext cx="914400" cy="914400"/>
        </a:xfrm>
        <a:prstGeom prst="rect">
          <a:avLst/>
        </a:prstGeom>
      </xdr:spPr>
    </xdr:pic>
    <xdr:clientData/>
  </xdr:twoCellAnchor>
  <xdr:oneCellAnchor>
    <xdr:from>
      <xdr:col>6</xdr:col>
      <xdr:colOff>473338</xdr:colOff>
      <xdr:row>16</xdr:row>
      <xdr:rowOff>1413</xdr:rowOff>
    </xdr:from>
    <xdr:ext cx="673198" cy="374141"/>
    <xdr:sp macro="" textlink="">
      <xdr:nvSpPr>
        <xdr:cNvPr id="89" name="TextBox 88">
          <a:extLst>
            <a:ext uri="{FF2B5EF4-FFF2-40B4-BE49-F238E27FC236}">
              <a16:creationId xmlns:a16="http://schemas.microsoft.com/office/drawing/2014/main" id="{35BAB8FF-4724-79B2-E5D6-C8D6ECB89380}"/>
            </a:ext>
          </a:extLst>
        </xdr:cNvPr>
        <xdr:cNvSpPr txBox="1"/>
      </xdr:nvSpPr>
      <xdr:spPr>
        <a:xfrm>
          <a:off x="2289612" y="2631879"/>
          <a:ext cx="67319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2">
                  <a:lumMod val="60000"/>
                  <a:lumOff val="40000"/>
                </a:schemeClr>
              </a:solidFill>
              <a:latin typeface="Kulim park"/>
            </a:rPr>
            <a:t>Male</a:t>
          </a:r>
        </a:p>
      </xdr:txBody>
    </xdr:sp>
    <xdr:clientData/>
  </xdr:oneCellAnchor>
  <xdr:twoCellAnchor>
    <xdr:from>
      <xdr:col>6</xdr:col>
      <xdr:colOff>41753</xdr:colOff>
      <xdr:row>16</xdr:row>
      <xdr:rowOff>180269</xdr:rowOff>
    </xdr:from>
    <xdr:to>
      <xdr:col>9</xdr:col>
      <xdr:colOff>302713</xdr:colOff>
      <xdr:row>22</xdr:row>
      <xdr:rowOff>125260</xdr:rowOff>
    </xdr:to>
    <xdr:graphicFrame macro="">
      <xdr:nvGraphicFramePr>
        <xdr:cNvPr id="92" name="Chart 91">
          <a:extLst>
            <a:ext uri="{FF2B5EF4-FFF2-40B4-BE49-F238E27FC236}">
              <a16:creationId xmlns:a16="http://schemas.microsoft.com/office/drawing/2014/main" id="{55F1D20F-F1EE-49C7-B83A-E6D187976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480164</xdr:colOff>
      <xdr:row>17</xdr:row>
      <xdr:rowOff>0</xdr:rowOff>
    </xdr:from>
    <xdr:to>
      <xdr:col>11</xdr:col>
      <xdr:colOff>10439</xdr:colOff>
      <xdr:row>22</xdr:row>
      <xdr:rowOff>125259</xdr:rowOff>
    </xdr:to>
    <xdr:graphicFrame macro="">
      <xdr:nvGraphicFramePr>
        <xdr:cNvPr id="98" name="Chart 97">
          <a:extLst>
            <a:ext uri="{FF2B5EF4-FFF2-40B4-BE49-F238E27FC236}">
              <a16:creationId xmlns:a16="http://schemas.microsoft.com/office/drawing/2014/main" id="{32F70991-2CA7-47BE-A3E6-79FC3B2F7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8</xdr:col>
      <xdr:colOff>535968</xdr:colOff>
      <xdr:row>16</xdr:row>
      <xdr:rowOff>11852</xdr:rowOff>
    </xdr:from>
    <xdr:ext cx="881395" cy="374141"/>
    <xdr:sp macro="" textlink="">
      <xdr:nvSpPr>
        <xdr:cNvPr id="99" name="TextBox 98">
          <a:extLst>
            <a:ext uri="{FF2B5EF4-FFF2-40B4-BE49-F238E27FC236}">
              <a16:creationId xmlns:a16="http://schemas.microsoft.com/office/drawing/2014/main" id="{6DF7FBE0-0A0C-BFD2-C721-FAD5975B3A2A}"/>
            </a:ext>
          </a:extLst>
        </xdr:cNvPr>
        <xdr:cNvSpPr txBox="1"/>
      </xdr:nvSpPr>
      <xdr:spPr>
        <a:xfrm>
          <a:off x="3563091" y="2642318"/>
          <a:ext cx="88139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2">
                  <a:lumMod val="60000"/>
                  <a:lumOff val="40000"/>
                </a:schemeClr>
              </a:solidFill>
              <a:latin typeface="Kulim park"/>
            </a:rPr>
            <a:t>Female</a:t>
          </a:r>
        </a:p>
      </xdr:txBody>
    </xdr:sp>
    <xdr:clientData/>
  </xdr:oneCellAnchor>
  <xdr:oneCellAnchor>
    <xdr:from>
      <xdr:col>7</xdr:col>
      <xdr:colOff>153713</xdr:colOff>
      <xdr:row>18</xdr:row>
      <xdr:rowOff>178557</xdr:rowOff>
    </xdr:from>
    <xdr:ext cx="649700" cy="342786"/>
    <xdr:sp macro="" textlink="PivotTables!K19">
      <xdr:nvSpPr>
        <xdr:cNvPr id="100" name="TextBox 99">
          <a:extLst>
            <a:ext uri="{FF2B5EF4-FFF2-40B4-BE49-F238E27FC236}">
              <a16:creationId xmlns:a16="http://schemas.microsoft.com/office/drawing/2014/main" id="{3A57ADA9-4151-869D-2ED0-EAA98EDFDEC1}"/>
            </a:ext>
          </a:extLst>
        </xdr:cNvPr>
        <xdr:cNvSpPr txBox="1"/>
      </xdr:nvSpPr>
      <xdr:spPr>
        <a:xfrm>
          <a:off x="4444104" y="3458470"/>
          <a:ext cx="6497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fld id="{5BC7B441-E822-43FB-833E-47223398D4F5}" type="TxLink">
            <a:rPr lang="en-US" sz="1600" b="1" i="0" u="none" strike="noStrike">
              <a:solidFill>
                <a:schemeClr val="bg1">
                  <a:lumMod val="95000"/>
                </a:schemeClr>
              </a:solidFill>
              <a:latin typeface="Kulim park"/>
            </a:rPr>
            <a:pPr algn="l"/>
            <a:t>48%</a:t>
          </a:fld>
          <a:endParaRPr lang="en-IN" sz="1800" b="1">
            <a:solidFill>
              <a:schemeClr val="bg1">
                <a:lumMod val="95000"/>
              </a:schemeClr>
            </a:solidFill>
            <a:latin typeface="Kulim park"/>
          </a:endParaRPr>
        </a:p>
      </xdr:txBody>
    </xdr:sp>
    <xdr:clientData/>
  </xdr:oneCellAnchor>
  <xdr:oneCellAnchor>
    <xdr:from>
      <xdr:col>9</xdr:col>
      <xdr:colOff>246609</xdr:colOff>
      <xdr:row>18</xdr:row>
      <xdr:rowOff>155335</xdr:rowOff>
    </xdr:from>
    <xdr:ext cx="713038" cy="342786"/>
    <xdr:sp macro="" textlink="PivotTables!K20">
      <xdr:nvSpPr>
        <xdr:cNvPr id="101" name="TextBox 100">
          <a:extLst>
            <a:ext uri="{FF2B5EF4-FFF2-40B4-BE49-F238E27FC236}">
              <a16:creationId xmlns:a16="http://schemas.microsoft.com/office/drawing/2014/main" id="{5B52005E-4A83-EE47-DC8D-D62901A9E504}"/>
            </a:ext>
          </a:extLst>
        </xdr:cNvPr>
        <xdr:cNvSpPr txBox="1"/>
      </xdr:nvSpPr>
      <xdr:spPr>
        <a:xfrm>
          <a:off x="5762826" y="3435248"/>
          <a:ext cx="71303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fld id="{A6A3FF87-FCAD-4FEF-8BB6-97677F915D9A}" type="TxLink">
            <a:rPr lang="en-US" sz="1600" b="1" i="0" u="none" strike="noStrike">
              <a:solidFill>
                <a:schemeClr val="bg1">
                  <a:lumMod val="95000"/>
                </a:schemeClr>
              </a:solidFill>
              <a:latin typeface="Kulim park"/>
            </a:rPr>
            <a:pPr algn="l"/>
            <a:t>52%</a:t>
          </a:fld>
          <a:endParaRPr lang="en-IN" sz="2400" b="1">
            <a:solidFill>
              <a:schemeClr val="bg1">
                <a:lumMod val="95000"/>
              </a:schemeClr>
            </a:solidFill>
            <a:latin typeface="Kulim park"/>
          </a:endParaRPr>
        </a:p>
      </xdr:txBody>
    </xdr:sp>
    <xdr:clientData/>
  </xdr:oneCellAnchor>
  <xdr:twoCellAnchor>
    <xdr:from>
      <xdr:col>11</xdr:col>
      <xdr:colOff>12910</xdr:colOff>
      <xdr:row>11</xdr:row>
      <xdr:rowOff>67235</xdr:rowOff>
    </xdr:from>
    <xdr:to>
      <xdr:col>14</xdr:col>
      <xdr:colOff>553017</xdr:colOff>
      <xdr:row>22</xdr:row>
      <xdr:rowOff>120555</xdr:rowOff>
    </xdr:to>
    <xdr:graphicFrame macro="">
      <xdr:nvGraphicFramePr>
        <xdr:cNvPr id="109" name="Chart 108">
          <a:extLst>
            <a:ext uri="{FF2B5EF4-FFF2-40B4-BE49-F238E27FC236}">
              <a16:creationId xmlns:a16="http://schemas.microsoft.com/office/drawing/2014/main" id="{1E71BCB7-D1ED-4BB4-8859-D555EFE94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11</xdr:col>
      <xdr:colOff>93660</xdr:colOff>
      <xdr:row>8</xdr:row>
      <xdr:rowOff>123265</xdr:rowOff>
    </xdr:from>
    <xdr:ext cx="1580981" cy="407065"/>
    <xdr:sp macro="" textlink="">
      <xdr:nvSpPr>
        <xdr:cNvPr id="110" name="TextBox 109">
          <a:extLst>
            <a:ext uri="{FF2B5EF4-FFF2-40B4-BE49-F238E27FC236}">
              <a16:creationId xmlns:a16="http://schemas.microsoft.com/office/drawing/2014/main" id="{63D50D5A-3DCD-8F49-4608-230429F984D1}"/>
            </a:ext>
          </a:extLst>
        </xdr:cNvPr>
        <xdr:cNvSpPr txBox="1"/>
      </xdr:nvSpPr>
      <xdr:spPr>
        <a:xfrm>
          <a:off x="4955027" y="1222860"/>
          <a:ext cx="1580981" cy="4070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solidFill>
                <a:schemeClr val="accent2">
                  <a:lumMod val="60000"/>
                  <a:lumOff val="40000"/>
                </a:schemeClr>
              </a:solidFill>
              <a:latin typeface="Kulim park"/>
            </a:rPr>
            <a:t>Leave</a:t>
          </a:r>
          <a:r>
            <a:rPr lang="en-IN" sz="1800" b="1" baseline="0">
              <a:solidFill>
                <a:schemeClr val="accent2">
                  <a:lumMod val="60000"/>
                  <a:lumOff val="40000"/>
                </a:schemeClr>
              </a:solidFill>
              <a:latin typeface="Kulim park"/>
            </a:rPr>
            <a:t> </a:t>
          </a:r>
          <a:r>
            <a:rPr lang="en-IN" sz="1600" b="1" baseline="0">
              <a:solidFill>
                <a:schemeClr val="accent2">
                  <a:lumMod val="60000"/>
                  <a:lumOff val="40000"/>
                </a:schemeClr>
              </a:solidFill>
              <a:latin typeface="Kulim park"/>
            </a:rPr>
            <a:t>Tracking</a:t>
          </a:r>
          <a:endParaRPr lang="en-IN" sz="1800" b="1">
            <a:solidFill>
              <a:schemeClr val="accent2">
                <a:lumMod val="60000"/>
                <a:lumOff val="40000"/>
              </a:schemeClr>
            </a:solidFill>
            <a:latin typeface="Kulim park"/>
          </a:endParaRPr>
        </a:p>
      </xdr:txBody>
    </xdr:sp>
    <xdr:clientData/>
  </xdr:oneCellAnchor>
  <xdr:oneCellAnchor>
    <xdr:from>
      <xdr:col>11</xdr:col>
      <xdr:colOff>64603</xdr:colOff>
      <xdr:row>10</xdr:row>
      <xdr:rowOff>33463</xdr:rowOff>
    </xdr:from>
    <xdr:ext cx="1489447" cy="256737"/>
    <xdr:sp macro="" textlink="">
      <xdr:nvSpPr>
        <xdr:cNvPr id="111" name="TextBox 110">
          <a:extLst>
            <a:ext uri="{FF2B5EF4-FFF2-40B4-BE49-F238E27FC236}">
              <a16:creationId xmlns:a16="http://schemas.microsoft.com/office/drawing/2014/main" id="{BBEDF259-DE30-9B78-EEB4-2384311334A4}"/>
            </a:ext>
          </a:extLst>
        </xdr:cNvPr>
        <xdr:cNvSpPr txBox="1"/>
      </xdr:nvSpPr>
      <xdr:spPr>
        <a:xfrm>
          <a:off x="4905544" y="1467816"/>
          <a:ext cx="1489447" cy="2567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bg1">
                  <a:lumMod val="65000"/>
                </a:schemeClr>
              </a:solidFill>
              <a:latin typeface="Kulim park"/>
            </a:rPr>
            <a:t>Leave</a:t>
          </a:r>
          <a:r>
            <a:rPr lang="en-IN" sz="1050" b="1" baseline="0">
              <a:solidFill>
                <a:schemeClr val="bg1">
                  <a:lumMod val="65000"/>
                </a:schemeClr>
              </a:solidFill>
              <a:latin typeface="Kulim park"/>
            </a:rPr>
            <a:t> taken by job title</a:t>
          </a:r>
          <a:endParaRPr lang="en-IN" sz="1050" b="1">
            <a:solidFill>
              <a:schemeClr val="bg1">
                <a:lumMod val="65000"/>
              </a:schemeClr>
            </a:solidFill>
            <a:latin typeface="Kulim park"/>
          </a:endParaRPr>
        </a:p>
      </xdr:txBody>
    </xdr:sp>
    <xdr:clientData/>
  </xdr:oneCellAnchor>
  <xdr:twoCellAnchor>
    <xdr:from>
      <xdr:col>15</xdr:col>
      <xdr:colOff>112060</xdr:colOff>
      <xdr:row>13</xdr:row>
      <xdr:rowOff>156883</xdr:rowOff>
    </xdr:from>
    <xdr:to>
      <xdr:col>19</xdr:col>
      <xdr:colOff>459442</xdr:colOff>
      <xdr:row>20</xdr:row>
      <xdr:rowOff>100852</xdr:rowOff>
    </xdr:to>
    <xdr:graphicFrame macro="">
      <xdr:nvGraphicFramePr>
        <xdr:cNvPr id="112" name="Chart 111">
          <a:extLst>
            <a:ext uri="{FF2B5EF4-FFF2-40B4-BE49-F238E27FC236}">
              <a16:creationId xmlns:a16="http://schemas.microsoft.com/office/drawing/2014/main" id="{40451215-6956-4C4F-A4BA-8138AEE3E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15</xdr:col>
      <xdr:colOff>189548</xdr:colOff>
      <xdr:row>11</xdr:row>
      <xdr:rowOff>168090</xdr:rowOff>
    </xdr:from>
    <xdr:ext cx="1580981" cy="407065"/>
    <xdr:sp macro="" textlink="">
      <xdr:nvSpPr>
        <xdr:cNvPr id="116" name="TextBox 115">
          <a:extLst>
            <a:ext uri="{FF2B5EF4-FFF2-40B4-BE49-F238E27FC236}">
              <a16:creationId xmlns:a16="http://schemas.microsoft.com/office/drawing/2014/main" id="{3DBA145E-130E-6141-2C88-843209D39ED5}"/>
            </a:ext>
          </a:extLst>
        </xdr:cNvPr>
        <xdr:cNvSpPr txBox="1"/>
      </xdr:nvSpPr>
      <xdr:spPr>
        <a:xfrm>
          <a:off x="7450960" y="1781737"/>
          <a:ext cx="1580981" cy="4070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solidFill>
                <a:schemeClr val="accent2">
                  <a:lumMod val="60000"/>
                  <a:lumOff val="40000"/>
                </a:schemeClr>
              </a:solidFill>
              <a:latin typeface="Kulim park"/>
            </a:rPr>
            <a:t>Regions</a:t>
          </a:r>
          <a:endParaRPr lang="en-IN" sz="1800" b="1">
            <a:solidFill>
              <a:schemeClr val="accent2">
                <a:lumMod val="60000"/>
                <a:lumOff val="40000"/>
              </a:schemeClr>
            </a:solidFill>
            <a:latin typeface="Kulim park"/>
          </a:endParaRPr>
        </a:p>
      </xdr:txBody>
    </xdr:sp>
    <xdr:clientData/>
  </xdr:oneCellAnchor>
  <xdr:oneCellAnchor>
    <xdr:from>
      <xdr:col>15</xdr:col>
      <xdr:colOff>176661</xdr:colOff>
      <xdr:row>13</xdr:row>
      <xdr:rowOff>22258</xdr:rowOff>
    </xdr:from>
    <xdr:ext cx="1342932" cy="256737"/>
    <xdr:sp macro="" textlink="">
      <xdr:nvSpPr>
        <xdr:cNvPr id="117" name="TextBox 116">
          <a:extLst>
            <a:ext uri="{FF2B5EF4-FFF2-40B4-BE49-F238E27FC236}">
              <a16:creationId xmlns:a16="http://schemas.microsoft.com/office/drawing/2014/main" id="{3C093B67-0299-AC70-687C-85717B05DE8E}"/>
            </a:ext>
          </a:extLst>
        </xdr:cNvPr>
        <xdr:cNvSpPr txBox="1"/>
      </xdr:nvSpPr>
      <xdr:spPr>
        <a:xfrm>
          <a:off x="7438073" y="1994493"/>
          <a:ext cx="1342932" cy="2567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bg1">
                  <a:lumMod val="65000"/>
                </a:schemeClr>
              </a:solidFill>
              <a:latin typeface="Kulim park"/>
            </a:rPr>
            <a:t>Employee</a:t>
          </a:r>
          <a:r>
            <a:rPr lang="en-IN" sz="1050" b="1" baseline="0">
              <a:solidFill>
                <a:schemeClr val="bg1">
                  <a:lumMod val="65000"/>
                </a:schemeClr>
              </a:solidFill>
              <a:latin typeface="Kulim park"/>
            </a:rPr>
            <a:t> per region</a:t>
          </a:r>
          <a:endParaRPr lang="en-IN" sz="1050" b="1">
            <a:solidFill>
              <a:schemeClr val="bg1">
                <a:lumMod val="65000"/>
              </a:schemeClr>
            </a:solidFill>
            <a:latin typeface="Kulim park"/>
          </a:endParaRPr>
        </a:p>
      </xdr:txBody>
    </xdr:sp>
    <xdr:clientData/>
  </xdr:oneCellAnchor>
  <xdr:oneCellAnchor>
    <xdr:from>
      <xdr:col>15</xdr:col>
      <xdr:colOff>254727</xdr:colOff>
      <xdr:row>9</xdr:row>
      <xdr:rowOff>169770</xdr:rowOff>
    </xdr:from>
    <xdr:ext cx="1314975" cy="311496"/>
    <xdr:sp macro="" textlink="">
      <xdr:nvSpPr>
        <xdr:cNvPr id="3" name="TextBox 2">
          <a:extLst>
            <a:ext uri="{FF2B5EF4-FFF2-40B4-BE49-F238E27FC236}">
              <a16:creationId xmlns:a16="http://schemas.microsoft.com/office/drawing/2014/main" id="{CB964CB0-01D8-7D4F-E5B7-21AEC188C36C}"/>
            </a:ext>
          </a:extLst>
        </xdr:cNvPr>
        <xdr:cNvSpPr txBox="1"/>
      </xdr:nvSpPr>
      <xdr:spPr>
        <a:xfrm>
          <a:off x="7569927" y="1465170"/>
          <a:ext cx="13149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latin typeface="Kulim park"/>
            </a:rPr>
            <a:t>Average</a:t>
          </a:r>
          <a:r>
            <a:rPr lang="en-IN" sz="1400" b="1" baseline="0">
              <a:solidFill>
                <a:schemeClr val="bg1"/>
              </a:solidFill>
              <a:latin typeface="Kulim park"/>
            </a:rPr>
            <a:t> Rating</a:t>
          </a:r>
          <a:endParaRPr lang="en-IN" sz="1400" b="1">
            <a:solidFill>
              <a:schemeClr val="bg1"/>
            </a:solidFill>
            <a:latin typeface="Kulim park"/>
          </a:endParaRPr>
        </a:p>
      </xdr:txBody>
    </xdr:sp>
    <xdr:clientData/>
  </xdr:oneCellAnchor>
  <xdr:twoCellAnchor>
    <xdr:from>
      <xdr:col>15</xdr:col>
      <xdr:colOff>274678</xdr:colOff>
      <xdr:row>6</xdr:row>
      <xdr:rowOff>59993</xdr:rowOff>
    </xdr:from>
    <xdr:to>
      <xdr:col>17</xdr:col>
      <xdr:colOff>315686</xdr:colOff>
      <xdr:row>9</xdr:row>
      <xdr:rowOff>139725</xdr:rowOff>
    </xdr:to>
    <xdr:sp macro="" textlink="PivotTables!X16">
      <xdr:nvSpPr>
        <xdr:cNvPr id="4" name="TextBox 3">
          <a:extLst>
            <a:ext uri="{FF2B5EF4-FFF2-40B4-BE49-F238E27FC236}">
              <a16:creationId xmlns:a16="http://schemas.microsoft.com/office/drawing/2014/main" id="{3A582BF2-A457-2F5C-61ED-CFCE6032C589}"/>
            </a:ext>
          </a:extLst>
        </xdr:cNvPr>
        <xdr:cNvSpPr txBox="1"/>
      </xdr:nvSpPr>
      <xdr:spPr>
        <a:xfrm>
          <a:off x="7589878" y="800222"/>
          <a:ext cx="1260208" cy="634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4193E9-AE1E-4CF2-9BDA-0A0AAF3DB471}" type="TxLink">
            <a:rPr lang="en-US" sz="4800" b="1" i="0" u="none" strike="noStrike">
              <a:solidFill>
                <a:schemeClr val="bg1">
                  <a:lumMod val="95000"/>
                </a:schemeClr>
              </a:solidFill>
              <a:latin typeface="Kulim park"/>
            </a:rPr>
            <a:pPr/>
            <a:t>2.6</a:t>
          </a:fld>
          <a:endParaRPr lang="en-IN" sz="71400" b="1">
            <a:solidFill>
              <a:schemeClr val="bg1">
                <a:lumMod val="95000"/>
              </a:schemeClr>
            </a:solidFill>
            <a:latin typeface="Kulim park"/>
          </a:endParaRPr>
        </a:p>
      </xdr:txBody>
    </xdr:sp>
    <xdr:clientData/>
  </xdr:twoCellAnchor>
  <xdr:oneCellAnchor>
    <xdr:from>
      <xdr:col>15</xdr:col>
      <xdr:colOff>229249</xdr:colOff>
      <xdr:row>4</xdr:row>
      <xdr:rowOff>3523</xdr:rowOff>
    </xdr:from>
    <xdr:ext cx="2405094" cy="407065"/>
    <xdr:sp macro="" textlink="">
      <xdr:nvSpPr>
        <xdr:cNvPr id="6" name="TextBox 5">
          <a:extLst>
            <a:ext uri="{FF2B5EF4-FFF2-40B4-BE49-F238E27FC236}">
              <a16:creationId xmlns:a16="http://schemas.microsoft.com/office/drawing/2014/main" id="{6658BAB2-76B2-93D7-4F86-6817F6ABEEEF}"/>
            </a:ext>
          </a:extLst>
        </xdr:cNvPr>
        <xdr:cNvSpPr txBox="1"/>
      </xdr:nvSpPr>
      <xdr:spPr>
        <a:xfrm>
          <a:off x="7544449" y="373637"/>
          <a:ext cx="2405094" cy="4070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a:solidFill>
                <a:schemeClr val="accent2">
                  <a:lumMod val="60000"/>
                  <a:lumOff val="40000"/>
                </a:schemeClr>
              </a:solidFill>
              <a:latin typeface="Kulim park"/>
            </a:rPr>
            <a:t>Performance</a:t>
          </a:r>
          <a:r>
            <a:rPr lang="en-IN" sz="1800" b="1" baseline="0">
              <a:solidFill>
                <a:schemeClr val="accent2">
                  <a:lumMod val="60000"/>
                  <a:lumOff val="40000"/>
                </a:schemeClr>
              </a:solidFill>
              <a:latin typeface="Kulim park"/>
            </a:rPr>
            <a:t> Rating</a:t>
          </a:r>
          <a:endParaRPr lang="en-IN" sz="2000" b="1">
            <a:solidFill>
              <a:schemeClr val="accent2">
                <a:lumMod val="60000"/>
                <a:lumOff val="40000"/>
              </a:schemeClr>
            </a:solidFill>
            <a:latin typeface="Kulim park"/>
          </a:endParaRPr>
        </a:p>
      </xdr:txBody>
    </xdr:sp>
    <xdr:clientData/>
  </xdr:oneCellAnchor>
  <xdr:oneCellAnchor>
    <xdr:from>
      <xdr:col>15</xdr:col>
      <xdr:colOff>238774</xdr:colOff>
      <xdr:row>5</xdr:row>
      <xdr:rowOff>98778</xdr:rowOff>
    </xdr:from>
    <xdr:ext cx="1804533" cy="280205"/>
    <xdr:sp macro="" textlink="">
      <xdr:nvSpPr>
        <xdr:cNvPr id="23" name="TextBox 22">
          <a:extLst>
            <a:ext uri="{FF2B5EF4-FFF2-40B4-BE49-F238E27FC236}">
              <a16:creationId xmlns:a16="http://schemas.microsoft.com/office/drawing/2014/main" id="{B2E1D665-6863-601B-C62B-076EE979A0EE}"/>
            </a:ext>
          </a:extLst>
        </xdr:cNvPr>
        <xdr:cNvSpPr txBox="1"/>
      </xdr:nvSpPr>
      <xdr:spPr>
        <a:xfrm>
          <a:off x="7553974" y="653949"/>
          <a:ext cx="1804533"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bg1">
                  <a:lumMod val="65000"/>
                </a:schemeClr>
              </a:solidFill>
              <a:latin typeface="Kulim park"/>
            </a:rPr>
            <a:t>Average</a:t>
          </a:r>
          <a:r>
            <a:rPr lang="en-IN" sz="1050" b="1" baseline="0">
              <a:solidFill>
                <a:schemeClr val="bg1">
                  <a:lumMod val="65000"/>
                </a:schemeClr>
              </a:solidFill>
              <a:latin typeface="Kulim park"/>
            </a:rPr>
            <a:t> Performance </a:t>
          </a:r>
          <a:r>
            <a:rPr lang="en-IN" sz="1200" b="1" baseline="0">
              <a:solidFill>
                <a:schemeClr val="bg1">
                  <a:lumMod val="65000"/>
                </a:schemeClr>
              </a:solidFill>
              <a:latin typeface="Kulim park"/>
            </a:rPr>
            <a:t>rating</a:t>
          </a:r>
          <a:endParaRPr lang="en-IN" sz="1050" b="1">
            <a:solidFill>
              <a:schemeClr val="bg1">
                <a:lumMod val="65000"/>
              </a:schemeClr>
            </a:solidFill>
            <a:latin typeface="Kulim park"/>
          </a:endParaRPr>
        </a:p>
      </xdr:txBody>
    </xdr:sp>
    <xdr:clientData/>
  </xdr:oneCellAnchor>
  <xdr:twoCellAnchor editAs="oneCell">
    <xdr:from>
      <xdr:col>17</xdr:col>
      <xdr:colOff>566057</xdr:colOff>
      <xdr:row>6</xdr:row>
      <xdr:rowOff>108858</xdr:rowOff>
    </xdr:from>
    <xdr:to>
      <xdr:col>19</xdr:col>
      <xdr:colOff>261257</xdr:colOff>
      <xdr:row>11</xdr:row>
      <xdr:rowOff>97973</xdr:rowOff>
    </xdr:to>
    <xdr:pic>
      <xdr:nvPicPr>
        <xdr:cNvPr id="64" name="Graphic 63" descr="Business Growth with solid fill">
          <a:extLst>
            <a:ext uri="{FF2B5EF4-FFF2-40B4-BE49-F238E27FC236}">
              <a16:creationId xmlns:a16="http://schemas.microsoft.com/office/drawing/2014/main" id="{A23984DD-8FD4-A1D9-9059-5F8F77455B1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100457" y="849087"/>
          <a:ext cx="914400" cy="914400"/>
        </a:xfrm>
        <a:prstGeom prst="rect">
          <a:avLst/>
        </a:prstGeom>
      </xdr:spPr>
    </xdr:pic>
    <xdr:clientData/>
  </xdr:twoCellAnchor>
  <xdr:twoCellAnchor>
    <xdr:from>
      <xdr:col>15</xdr:col>
      <xdr:colOff>190005</xdr:colOff>
      <xdr:row>4</xdr:row>
      <xdr:rowOff>168358</xdr:rowOff>
    </xdr:from>
    <xdr:to>
      <xdr:col>15</xdr:col>
      <xdr:colOff>274617</xdr:colOff>
      <xdr:row>5</xdr:row>
      <xdr:rowOff>66798</xdr:rowOff>
    </xdr:to>
    <xdr:sp macro="" textlink="">
      <xdr:nvSpPr>
        <xdr:cNvPr id="66" name="Oval 65">
          <a:extLst>
            <a:ext uri="{FF2B5EF4-FFF2-40B4-BE49-F238E27FC236}">
              <a16:creationId xmlns:a16="http://schemas.microsoft.com/office/drawing/2014/main" id="{5F489D0F-3B1A-D6AC-AA68-1CBF90D345E5}"/>
            </a:ext>
          </a:extLst>
        </xdr:cNvPr>
        <xdr:cNvSpPr/>
      </xdr:nvSpPr>
      <xdr:spPr>
        <a:xfrm>
          <a:off x="7482056" y="534890"/>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15</xdr:col>
      <xdr:colOff>180359</xdr:colOff>
      <xdr:row>12</xdr:row>
      <xdr:rowOff>139422</xdr:rowOff>
    </xdr:from>
    <xdr:to>
      <xdr:col>15</xdr:col>
      <xdr:colOff>264971</xdr:colOff>
      <xdr:row>13</xdr:row>
      <xdr:rowOff>37861</xdr:rowOff>
    </xdr:to>
    <xdr:sp macro="" textlink="">
      <xdr:nvSpPr>
        <xdr:cNvPr id="68" name="Oval 67">
          <a:extLst>
            <a:ext uri="{FF2B5EF4-FFF2-40B4-BE49-F238E27FC236}">
              <a16:creationId xmlns:a16="http://schemas.microsoft.com/office/drawing/2014/main" id="{11890405-9023-4BDC-031C-B5DF835E3700}"/>
            </a:ext>
          </a:extLst>
        </xdr:cNvPr>
        <xdr:cNvSpPr/>
      </xdr:nvSpPr>
      <xdr:spPr>
        <a:xfrm>
          <a:off x="7472410" y="1972080"/>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15</xdr:col>
      <xdr:colOff>74258</xdr:colOff>
      <xdr:row>21</xdr:row>
      <xdr:rowOff>4383</xdr:rowOff>
    </xdr:from>
    <xdr:to>
      <xdr:col>15</xdr:col>
      <xdr:colOff>158870</xdr:colOff>
      <xdr:row>21</xdr:row>
      <xdr:rowOff>86088</xdr:rowOff>
    </xdr:to>
    <xdr:sp macro="" textlink="">
      <xdr:nvSpPr>
        <xdr:cNvPr id="69" name="Oval 68">
          <a:extLst>
            <a:ext uri="{FF2B5EF4-FFF2-40B4-BE49-F238E27FC236}">
              <a16:creationId xmlns:a16="http://schemas.microsoft.com/office/drawing/2014/main" id="{C651D4C3-6443-8AF2-E943-6DC5CE086CEF}"/>
            </a:ext>
          </a:extLst>
        </xdr:cNvPr>
        <xdr:cNvSpPr/>
      </xdr:nvSpPr>
      <xdr:spPr>
        <a:xfrm>
          <a:off x="7366309" y="3486434"/>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11</xdr:col>
      <xdr:colOff>112841</xdr:colOff>
      <xdr:row>23</xdr:row>
      <xdr:rowOff>139422</xdr:rowOff>
    </xdr:from>
    <xdr:to>
      <xdr:col>11</xdr:col>
      <xdr:colOff>197453</xdr:colOff>
      <xdr:row>24</xdr:row>
      <xdr:rowOff>37861</xdr:rowOff>
    </xdr:to>
    <xdr:sp macro="" textlink="">
      <xdr:nvSpPr>
        <xdr:cNvPr id="70" name="Oval 69">
          <a:extLst>
            <a:ext uri="{FF2B5EF4-FFF2-40B4-BE49-F238E27FC236}">
              <a16:creationId xmlns:a16="http://schemas.microsoft.com/office/drawing/2014/main" id="{0DE43D97-C9AE-8898-DC12-FF863AF4B310}"/>
            </a:ext>
          </a:extLst>
        </xdr:cNvPr>
        <xdr:cNvSpPr/>
      </xdr:nvSpPr>
      <xdr:spPr>
        <a:xfrm>
          <a:off x="4974208" y="3988004"/>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11</xdr:col>
      <xdr:colOff>54967</xdr:colOff>
      <xdr:row>9</xdr:row>
      <xdr:rowOff>91193</xdr:rowOff>
    </xdr:from>
    <xdr:to>
      <xdr:col>11</xdr:col>
      <xdr:colOff>139579</xdr:colOff>
      <xdr:row>9</xdr:row>
      <xdr:rowOff>172898</xdr:rowOff>
    </xdr:to>
    <xdr:sp macro="" textlink="">
      <xdr:nvSpPr>
        <xdr:cNvPr id="71" name="Oval 70">
          <a:extLst>
            <a:ext uri="{FF2B5EF4-FFF2-40B4-BE49-F238E27FC236}">
              <a16:creationId xmlns:a16="http://schemas.microsoft.com/office/drawing/2014/main" id="{CE680C60-EDF3-E5BC-527C-B498FB261FAF}"/>
            </a:ext>
          </a:extLst>
        </xdr:cNvPr>
        <xdr:cNvSpPr/>
      </xdr:nvSpPr>
      <xdr:spPr>
        <a:xfrm>
          <a:off x="4916334" y="1374054"/>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6</xdr:col>
      <xdr:colOff>575827</xdr:colOff>
      <xdr:row>10</xdr:row>
      <xdr:rowOff>23673</xdr:rowOff>
    </xdr:from>
    <xdr:to>
      <xdr:col>7</xdr:col>
      <xdr:colOff>52768</xdr:colOff>
      <xdr:row>10</xdr:row>
      <xdr:rowOff>105378</xdr:rowOff>
    </xdr:to>
    <xdr:sp macro="" textlink="">
      <xdr:nvSpPr>
        <xdr:cNvPr id="72" name="Oval 71">
          <a:extLst>
            <a:ext uri="{FF2B5EF4-FFF2-40B4-BE49-F238E27FC236}">
              <a16:creationId xmlns:a16="http://schemas.microsoft.com/office/drawing/2014/main" id="{06127B37-1A93-D41D-7E3A-76E7A4019D49}"/>
            </a:ext>
          </a:extLst>
        </xdr:cNvPr>
        <xdr:cNvSpPr/>
      </xdr:nvSpPr>
      <xdr:spPr>
        <a:xfrm>
          <a:off x="2398840" y="1489800"/>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6</xdr:col>
      <xdr:colOff>575827</xdr:colOff>
      <xdr:row>24</xdr:row>
      <xdr:rowOff>4383</xdr:rowOff>
    </xdr:from>
    <xdr:to>
      <xdr:col>7</xdr:col>
      <xdr:colOff>52768</xdr:colOff>
      <xdr:row>24</xdr:row>
      <xdr:rowOff>86088</xdr:rowOff>
    </xdr:to>
    <xdr:sp macro="" textlink="">
      <xdr:nvSpPr>
        <xdr:cNvPr id="74" name="Oval 73">
          <a:extLst>
            <a:ext uri="{FF2B5EF4-FFF2-40B4-BE49-F238E27FC236}">
              <a16:creationId xmlns:a16="http://schemas.microsoft.com/office/drawing/2014/main" id="{3F1B1A9E-9B3D-A5C2-B2C5-2AD9180A098A}"/>
            </a:ext>
          </a:extLst>
        </xdr:cNvPr>
        <xdr:cNvSpPr/>
      </xdr:nvSpPr>
      <xdr:spPr>
        <a:xfrm>
          <a:off x="2398840" y="4036231"/>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3</xdr:col>
      <xdr:colOff>353979</xdr:colOff>
      <xdr:row>18</xdr:row>
      <xdr:rowOff>62256</xdr:rowOff>
    </xdr:from>
    <xdr:to>
      <xdr:col>3</xdr:col>
      <xdr:colOff>438591</xdr:colOff>
      <xdr:row>18</xdr:row>
      <xdr:rowOff>143961</xdr:rowOff>
    </xdr:to>
    <xdr:sp macro="" textlink="">
      <xdr:nvSpPr>
        <xdr:cNvPr id="76" name="Oval 75">
          <a:extLst>
            <a:ext uri="{FF2B5EF4-FFF2-40B4-BE49-F238E27FC236}">
              <a16:creationId xmlns:a16="http://schemas.microsoft.com/office/drawing/2014/main" id="{FE4ED51E-F129-EBC1-F6CB-15F9B5E78477}"/>
            </a:ext>
          </a:extLst>
        </xdr:cNvPr>
        <xdr:cNvSpPr/>
      </xdr:nvSpPr>
      <xdr:spPr>
        <a:xfrm>
          <a:off x="353979" y="2994509"/>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3</xdr:col>
      <xdr:colOff>363625</xdr:colOff>
      <xdr:row>27</xdr:row>
      <xdr:rowOff>14028</xdr:rowOff>
    </xdr:from>
    <xdr:to>
      <xdr:col>3</xdr:col>
      <xdr:colOff>448237</xdr:colOff>
      <xdr:row>27</xdr:row>
      <xdr:rowOff>95733</xdr:rowOff>
    </xdr:to>
    <xdr:sp macro="" textlink="">
      <xdr:nvSpPr>
        <xdr:cNvPr id="77" name="Oval 76">
          <a:extLst>
            <a:ext uri="{FF2B5EF4-FFF2-40B4-BE49-F238E27FC236}">
              <a16:creationId xmlns:a16="http://schemas.microsoft.com/office/drawing/2014/main" id="{D544FC2A-3115-5563-772D-2CA0BE6319AE}"/>
            </a:ext>
          </a:extLst>
        </xdr:cNvPr>
        <xdr:cNvSpPr/>
      </xdr:nvSpPr>
      <xdr:spPr>
        <a:xfrm>
          <a:off x="363625" y="4595674"/>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3</xdr:col>
      <xdr:colOff>353979</xdr:colOff>
      <xdr:row>19</xdr:row>
      <xdr:rowOff>139421</xdr:rowOff>
    </xdr:from>
    <xdr:to>
      <xdr:col>3</xdr:col>
      <xdr:colOff>438591</xdr:colOff>
      <xdr:row>20</xdr:row>
      <xdr:rowOff>37860</xdr:rowOff>
    </xdr:to>
    <xdr:sp macro="" textlink="">
      <xdr:nvSpPr>
        <xdr:cNvPr id="118" name="Oval 117">
          <a:extLst>
            <a:ext uri="{FF2B5EF4-FFF2-40B4-BE49-F238E27FC236}">
              <a16:creationId xmlns:a16="http://schemas.microsoft.com/office/drawing/2014/main" id="{AB62C154-718D-4E2D-E1A3-D2A0BCFF2B6B}"/>
            </a:ext>
          </a:extLst>
        </xdr:cNvPr>
        <xdr:cNvSpPr/>
      </xdr:nvSpPr>
      <xdr:spPr>
        <a:xfrm>
          <a:off x="353979" y="3254940"/>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3</xdr:col>
      <xdr:colOff>353979</xdr:colOff>
      <xdr:row>21</xdr:row>
      <xdr:rowOff>42965</xdr:rowOff>
    </xdr:from>
    <xdr:to>
      <xdr:col>3</xdr:col>
      <xdr:colOff>438591</xdr:colOff>
      <xdr:row>21</xdr:row>
      <xdr:rowOff>124670</xdr:rowOff>
    </xdr:to>
    <xdr:sp macro="" textlink="">
      <xdr:nvSpPr>
        <xdr:cNvPr id="119" name="Oval 118">
          <a:extLst>
            <a:ext uri="{FF2B5EF4-FFF2-40B4-BE49-F238E27FC236}">
              <a16:creationId xmlns:a16="http://schemas.microsoft.com/office/drawing/2014/main" id="{BCD5A420-A164-86B0-1789-2673853C4843}"/>
            </a:ext>
          </a:extLst>
        </xdr:cNvPr>
        <xdr:cNvSpPr/>
      </xdr:nvSpPr>
      <xdr:spPr>
        <a:xfrm>
          <a:off x="353979" y="3525016"/>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3</xdr:col>
      <xdr:colOff>353979</xdr:colOff>
      <xdr:row>22</xdr:row>
      <xdr:rowOff>120130</xdr:rowOff>
    </xdr:from>
    <xdr:to>
      <xdr:col>3</xdr:col>
      <xdr:colOff>438591</xdr:colOff>
      <xdr:row>23</xdr:row>
      <xdr:rowOff>18569</xdr:rowOff>
    </xdr:to>
    <xdr:sp macro="" textlink="">
      <xdr:nvSpPr>
        <xdr:cNvPr id="120" name="Oval 119">
          <a:extLst>
            <a:ext uri="{FF2B5EF4-FFF2-40B4-BE49-F238E27FC236}">
              <a16:creationId xmlns:a16="http://schemas.microsoft.com/office/drawing/2014/main" id="{3B9F4D3B-B634-4957-3757-5BF01E8ADA46}"/>
            </a:ext>
          </a:extLst>
        </xdr:cNvPr>
        <xdr:cNvSpPr/>
      </xdr:nvSpPr>
      <xdr:spPr>
        <a:xfrm>
          <a:off x="353979" y="3785446"/>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3</xdr:col>
      <xdr:colOff>353979</xdr:colOff>
      <xdr:row>24</xdr:row>
      <xdr:rowOff>4383</xdr:rowOff>
    </xdr:from>
    <xdr:to>
      <xdr:col>3</xdr:col>
      <xdr:colOff>438591</xdr:colOff>
      <xdr:row>24</xdr:row>
      <xdr:rowOff>86088</xdr:rowOff>
    </xdr:to>
    <xdr:sp macro="" textlink="">
      <xdr:nvSpPr>
        <xdr:cNvPr id="121" name="Oval 120">
          <a:extLst>
            <a:ext uri="{FF2B5EF4-FFF2-40B4-BE49-F238E27FC236}">
              <a16:creationId xmlns:a16="http://schemas.microsoft.com/office/drawing/2014/main" id="{7ABD2A2D-9446-F2B3-F90B-EB77EEF3A10D}"/>
            </a:ext>
          </a:extLst>
        </xdr:cNvPr>
        <xdr:cNvSpPr/>
      </xdr:nvSpPr>
      <xdr:spPr>
        <a:xfrm>
          <a:off x="353979" y="4036231"/>
          <a:ext cx="84612" cy="8170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Kulim park"/>
          </a:endParaRPr>
        </a:p>
      </xdr:txBody>
    </xdr:sp>
    <xdr:clientData/>
  </xdr:twoCellAnchor>
  <xdr:twoCellAnchor>
    <xdr:from>
      <xdr:col>3</xdr:col>
      <xdr:colOff>385823</xdr:colOff>
      <xdr:row>15</xdr:row>
      <xdr:rowOff>19291</xdr:rowOff>
    </xdr:from>
    <xdr:to>
      <xdr:col>3</xdr:col>
      <xdr:colOff>395468</xdr:colOff>
      <xdr:row>17</xdr:row>
      <xdr:rowOff>86811</xdr:rowOff>
    </xdr:to>
    <xdr:cxnSp macro="">
      <xdr:nvCxnSpPr>
        <xdr:cNvPr id="123" name="Straight Connector 122">
          <a:extLst>
            <a:ext uri="{FF2B5EF4-FFF2-40B4-BE49-F238E27FC236}">
              <a16:creationId xmlns:a16="http://schemas.microsoft.com/office/drawing/2014/main" id="{EA687842-952A-A501-3593-CBEA983F6A34}"/>
            </a:ext>
          </a:extLst>
        </xdr:cNvPr>
        <xdr:cNvCxnSpPr/>
      </xdr:nvCxnSpPr>
      <xdr:spPr>
        <a:xfrm flipH="1">
          <a:off x="385823" y="2401747"/>
          <a:ext cx="9645" cy="434051"/>
        </a:xfrm>
        <a:prstGeom prst="line">
          <a:avLst/>
        </a:prstGeom>
        <a:ln w="317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337595</xdr:colOff>
      <xdr:row>3</xdr:row>
      <xdr:rowOff>57874</xdr:rowOff>
    </xdr:from>
    <xdr:to>
      <xdr:col>5</xdr:col>
      <xdr:colOff>36653</xdr:colOff>
      <xdr:row>8</xdr:row>
      <xdr:rowOff>55945</xdr:rowOff>
    </xdr:to>
    <xdr:pic>
      <xdr:nvPicPr>
        <xdr:cNvPr id="128" name="Graphic 127" descr="Group brainstorm with solid fill">
          <a:extLst>
            <a:ext uri="{FF2B5EF4-FFF2-40B4-BE49-F238E27FC236}">
              <a16:creationId xmlns:a16="http://schemas.microsoft.com/office/drawing/2014/main" id="{E117C3BB-90C1-B712-6F2A-29DB3431591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37595" y="241140"/>
          <a:ext cx="914400" cy="914400"/>
        </a:xfrm>
        <a:prstGeom prst="rect">
          <a:avLst/>
        </a:prstGeom>
      </xdr:spPr>
    </xdr:pic>
    <xdr:clientData/>
  </xdr:twoCellAnchor>
  <xdr:oneCellAnchor>
    <xdr:from>
      <xdr:col>5</xdr:col>
      <xdr:colOff>132242</xdr:colOff>
      <xdr:row>3</xdr:row>
      <xdr:rowOff>17163</xdr:rowOff>
    </xdr:from>
    <xdr:ext cx="1580981" cy="407065"/>
    <xdr:sp macro="" textlink="">
      <xdr:nvSpPr>
        <xdr:cNvPr id="132" name="TextBox 131">
          <a:extLst>
            <a:ext uri="{FF2B5EF4-FFF2-40B4-BE49-F238E27FC236}">
              <a16:creationId xmlns:a16="http://schemas.microsoft.com/office/drawing/2014/main" id="{2745E73F-8480-57FC-EC0E-2DAF5033B9FA}"/>
            </a:ext>
          </a:extLst>
        </xdr:cNvPr>
        <xdr:cNvSpPr txBox="1"/>
      </xdr:nvSpPr>
      <xdr:spPr>
        <a:xfrm>
          <a:off x="1347584" y="200429"/>
          <a:ext cx="1580981" cy="4070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1">
            <a:solidFill>
              <a:schemeClr val="accent2">
                <a:lumMod val="60000"/>
                <a:lumOff val="40000"/>
              </a:schemeClr>
            </a:solidFill>
            <a:latin typeface="Kulim park"/>
          </a:endParaRPr>
        </a:p>
      </xdr:txBody>
    </xdr:sp>
    <xdr:clientData/>
  </xdr:oneCellAnchor>
  <xdr:oneCellAnchor>
    <xdr:from>
      <xdr:col>5</xdr:col>
      <xdr:colOff>103185</xdr:colOff>
      <xdr:row>4</xdr:row>
      <xdr:rowOff>110627</xdr:rowOff>
    </xdr:from>
    <xdr:ext cx="184731" cy="256737"/>
    <xdr:sp macro="" textlink="">
      <xdr:nvSpPr>
        <xdr:cNvPr id="133" name="TextBox 132">
          <a:extLst>
            <a:ext uri="{FF2B5EF4-FFF2-40B4-BE49-F238E27FC236}">
              <a16:creationId xmlns:a16="http://schemas.microsoft.com/office/drawing/2014/main" id="{2D7F7D9B-4928-757D-447E-6B4DC5E23CA4}"/>
            </a:ext>
          </a:extLst>
        </xdr:cNvPr>
        <xdr:cNvSpPr txBox="1"/>
      </xdr:nvSpPr>
      <xdr:spPr>
        <a:xfrm>
          <a:off x="1318527" y="477159"/>
          <a:ext cx="184731" cy="2567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050" b="1">
            <a:solidFill>
              <a:schemeClr val="bg1">
                <a:lumMod val="65000"/>
              </a:schemeClr>
            </a:solidFill>
            <a:latin typeface="Kulim park"/>
          </a:endParaRPr>
        </a:p>
      </xdr:txBody>
    </xdr:sp>
    <xdr:clientData/>
  </xdr:oneCellAnchor>
  <xdr:oneCellAnchor>
    <xdr:from>
      <xdr:col>5</xdr:col>
      <xdr:colOff>112950</xdr:colOff>
      <xdr:row>5</xdr:row>
      <xdr:rowOff>46100</xdr:rowOff>
    </xdr:from>
    <xdr:ext cx="1580981" cy="407065"/>
    <xdr:sp macro="" textlink="">
      <xdr:nvSpPr>
        <xdr:cNvPr id="137" name="TextBox 136">
          <a:extLst>
            <a:ext uri="{FF2B5EF4-FFF2-40B4-BE49-F238E27FC236}">
              <a16:creationId xmlns:a16="http://schemas.microsoft.com/office/drawing/2014/main" id="{D0CFF604-2270-C2D6-5653-E3C4238E6067}"/>
            </a:ext>
          </a:extLst>
        </xdr:cNvPr>
        <xdr:cNvSpPr txBox="1"/>
      </xdr:nvSpPr>
      <xdr:spPr>
        <a:xfrm>
          <a:off x="1328292" y="595897"/>
          <a:ext cx="1580981" cy="4070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a:solidFill>
                <a:schemeClr val="accent2">
                  <a:lumMod val="60000"/>
                  <a:lumOff val="40000"/>
                </a:schemeClr>
              </a:solidFill>
              <a:latin typeface="Kulim park"/>
            </a:rPr>
            <a:t>Dashboard</a:t>
          </a:r>
          <a:endParaRPr lang="en-IN" sz="2000" b="1">
            <a:solidFill>
              <a:schemeClr val="accent2">
                <a:lumMod val="60000"/>
                <a:lumOff val="40000"/>
              </a:schemeClr>
            </a:solidFill>
            <a:latin typeface="Kulim park"/>
          </a:endParaRPr>
        </a:p>
      </xdr:txBody>
    </xdr:sp>
    <xdr:clientData/>
  </xdr:oneCellAnchor>
  <xdr:oneCellAnchor>
    <xdr:from>
      <xdr:col>5</xdr:col>
      <xdr:colOff>103185</xdr:colOff>
      <xdr:row>6</xdr:row>
      <xdr:rowOff>120273</xdr:rowOff>
    </xdr:from>
    <xdr:ext cx="2598019" cy="264560"/>
    <xdr:sp macro="" textlink="">
      <xdr:nvSpPr>
        <xdr:cNvPr id="138" name="TextBox 137">
          <a:extLst>
            <a:ext uri="{FF2B5EF4-FFF2-40B4-BE49-F238E27FC236}">
              <a16:creationId xmlns:a16="http://schemas.microsoft.com/office/drawing/2014/main" id="{CD827D99-06EB-D052-B5EA-888A89976C02}"/>
            </a:ext>
          </a:extLst>
        </xdr:cNvPr>
        <xdr:cNvSpPr txBox="1"/>
      </xdr:nvSpPr>
      <xdr:spPr>
        <a:xfrm>
          <a:off x="1318527" y="853336"/>
          <a:ext cx="2598019"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lumMod val="65000"/>
                </a:schemeClr>
              </a:solidFill>
              <a:latin typeface="Kulim park"/>
            </a:rPr>
            <a:t>Analyze</a:t>
          </a:r>
          <a:r>
            <a:rPr lang="en-IN" sz="1100" b="1" baseline="0">
              <a:solidFill>
                <a:schemeClr val="bg1">
                  <a:lumMod val="65000"/>
                </a:schemeClr>
              </a:solidFill>
              <a:latin typeface="Kulim park"/>
            </a:rPr>
            <a:t> and monitor the HR department </a:t>
          </a:r>
          <a:endParaRPr lang="en-IN" sz="1100" b="1">
            <a:solidFill>
              <a:schemeClr val="bg1">
                <a:lumMod val="65000"/>
              </a:schemeClr>
            </a:solidFill>
            <a:latin typeface="Kulim park"/>
          </a:endParaRPr>
        </a:p>
      </xdr:txBody>
    </xdr:sp>
    <xdr:clientData/>
  </xdr:oneCellAnchor>
  <xdr:oneCellAnchor>
    <xdr:from>
      <xdr:col>5</xdr:col>
      <xdr:colOff>112951</xdr:colOff>
      <xdr:row>3</xdr:row>
      <xdr:rowOff>46100</xdr:rowOff>
    </xdr:from>
    <xdr:ext cx="1580981" cy="474761"/>
    <xdr:sp macro="" textlink="">
      <xdr:nvSpPr>
        <xdr:cNvPr id="139" name="TextBox 138">
          <a:extLst>
            <a:ext uri="{FF2B5EF4-FFF2-40B4-BE49-F238E27FC236}">
              <a16:creationId xmlns:a16="http://schemas.microsoft.com/office/drawing/2014/main" id="{EB34EDB8-E498-E0A7-EDC4-D4F580A80B25}"/>
            </a:ext>
          </a:extLst>
        </xdr:cNvPr>
        <xdr:cNvSpPr txBox="1"/>
      </xdr:nvSpPr>
      <xdr:spPr>
        <a:xfrm>
          <a:off x="1328293" y="229366"/>
          <a:ext cx="1580981" cy="4747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3200" b="1">
              <a:solidFill>
                <a:schemeClr val="accent2">
                  <a:lumMod val="60000"/>
                  <a:lumOff val="40000"/>
                </a:schemeClr>
              </a:solidFill>
              <a:latin typeface="Kulim park"/>
            </a:rPr>
            <a:t>HR</a:t>
          </a:r>
          <a:endParaRPr lang="en-IN" sz="2800" b="1">
            <a:solidFill>
              <a:schemeClr val="accent2">
                <a:lumMod val="60000"/>
                <a:lumOff val="40000"/>
              </a:schemeClr>
            </a:solidFill>
            <a:latin typeface="Kulim park"/>
          </a:endParaRPr>
        </a:p>
      </xdr:txBody>
    </xdr:sp>
    <xdr:clientData/>
  </xdr:oneCellAnchor>
  <xdr:twoCellAnchor editAs="oneCell">
    <xdr:from>
      <xdr:col>8</xdr:col>
      <xdr:colOff>462986</xdr:colOff>
      <xdr:row>3</xdr:row>
      <xdr:rowOff>135039</xdr:rowOff>
    </xdr:from>
    <xdr:to>
      <xdr:col>11</xdr:col>
      <xdr:colOff>462986</xdr:colOff>
      <xdr:row>7</xdr:row>
      <xdr:rowOff>19293</xdr:rowOff>
    </xdr:to>
    <mc:AlternateContent xmlns:mc="http://schemas.openxmlformats.org/markup-compatibility/2006" xmlns:a14="http://schemas.microsoft.com/office/drawing/2010/main">
      <mc:Choice Requires="a14">
        <xdr:graphicFrame macro="">
          <xdr:nvGraphicFramePr>
            <xdr:cNvPr id="140" name="Gender">
              <a:extLst>
                <a:ext uri="{FF2B5EF4-FFF2-40B4-BE49-F238E27FC236}">
                  <a16:creationId xmlns:a16="http://schemas.microsoft.com/office/drawing/2014/main" id="{AB6203BA-5452-4508-BA53-D404184020A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366290" y="681691"/>
              <a:ext cx="1838739" cy="613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426206</xdr:colOff>
      <xdr:row>3</xdr:row>
      <xdr:rowOff>103882</xdr:rowOff>
    </xdr:from>
    <xdr:to>
      <xdr:col>15</xdr:col>
      <xdr:colOff>86809</xdr:colOff>
      <xdr:row>8</xdr:row>
      <xdr:rowOff>125392</xdr:rowOff>
    </xdr:to>
    <mc:AlternateContent xmlns:mc="http://schemas.openxmlformats.org/markup-compatibility/2006" xmlns:a14="http://schemas.microsoft.com/office/drawing/2010/main">
      <mc:Choice Requires="a14">
        <xdr:graphicFrame macro="">
          <xdr:nvGraphicFramePr>
            <xdr:cNvPr id="141" name="Department">
              <a:extLst>
                <a:ext uri="{FF2B5EF4-FFF2-40B4-BE49-F238E27FC236}">
                  <a16:creationId xmlns:a16="http://schemas.microsoft.com/office/drawing/2014/main" id="{001E467F-B123-46EB-8625-E4379148594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073999" y="655675"/>
              <a:ext cx="2077982" cy="941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31226</xdr:colOff>
      <xdr:row>3</xdr:row>
      <xdr:rowOff>127467</xdr:rowOff>
    </xdr:from>
    <xdr:ext cx="184731" cy="311496"/>
    <xdr:sp macro="" textlink="">
      <xdr:nvSpPr>
        <xdr:cNvPr id="144" name="TextBox 143">
          <a:extLst>
            <a:ext uri="{FF2B5EF4-FFF2-40B4-BE49-F238E27FC236}">
              <a16:creationId xmlns:a16="http://schemas.microsoft.com/office/drawing/2014/main" id="{CEC7501D-D044-3528-4498-066D54E98BBC}"/>
            </a:ext>
          </a:extLst>
        </xdr:cNvPr>
        <xdr:cNvSpPr txBox="1"/>
      </xdr:nvSpPr>
      <xdr:spPr>
        <a:xfrm>
          <a:off x="3657295" y="679260"/>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b="1">
            <a:solidFill>
              <a:schemeClr val="bg1">
                <a:lumMod val="95000"/>
              </a:schemeClr>
            </a:solidFill>
            <a:latin typeface="Kulim park"/>
          </a:endParaRPr>
        </a:p>
      </xdr:txBody>
    </xdr:sp>
    <xdr:clientData/>
  </xdr:oneCellAnchor>
  <xdr:oneCellAnchor>
    <xdr:from>
      <xdr:col>8</xdr:col>
      <xdr:colOff>465277</xdr:colOff>
      <xdr:row>3</xdr:row>
      <xdr:rowOff>137112</xdr:rowOff>
    </xdr:from>
    <xdr:ext cx="1189236" cy="280205"/>
    <xdr:sp macro="" textlink="">
      <xdr:nvSpPr>
        <xdr:cNvPr id="145" name="TextBox 144">
          <a:extLst>
            <a:ext uri="{FF2B5EF4-FFF2-40B4-BE49-F238E27FC236}">
              <a16:creationId xmlns:a16="http://schemas.microsoft.com/office/drawing/2014/main" id="{3A2B5AE5-B205-F186-B3F2-2F4A7B534694}"/>
            </a:ext>
          </a:extLst>
        </xdr:cNvPr>
        <xdr:cNvSpPr txBox="1"/>
      </xdr:nvSpPr>
      <xdr:spPr>
        <a:xfrm>
          <a:off x="3503631" y="320378"/>
          <a:ext cx="1189236" cy="280205"/>
        </a:xfrm>
        <a:prstGeom prst="rect">
          <a:avLst/>
        </a:prstGeom>
        <a:solidFill>
          <a:srgbClr val="1F1F1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baseline="0">
              <a:solidFill>
                <a:schemeClr val="bg1">
                  <a:lumMod val="95000"/>
                </a:schemeClr>
              </a:solidFill>
              <a:latin typeface="Kulim park"/>
            </a:rPr>
            <a:t>Filter by gender</a:t>
          </a:r>
          <a:endParaRPr lang="en-IN" sz="1200" b="1">
            <a:solidFill>
              <a:schemeClr val="bg1">
                <a:lumMod val="95000"/>
              </a:schemeClr>
            </a:solidFill>
            <a:latin typeface="Kulim park"/>
          </a:endParaRPr>
        </a:p>
      </xdr:txBody>
    </xdr:sp>
    <xdr:clientData/>
  </xdr:oneCellAnchor>
  <xdr:oneCellAnchor>
    <xdr:from>
      <xdr:col>11</xdr:col>
      <xdr:colOff>388112</xdr:colOff>
      <xdr:row>3</xdr:row>
      <xdr:rowOff>88884</xdr:rowOff>
    </xdr:from>
    <xdr:ext cx="1506695" cy="280205"/>
    <xdr:sp macro="" textlink="">
      <xdr:nvSpPr>
        <xdr:cNvPr id="146" name="TextBox 145">
          <a:extLst>
            <a:ext uri="{FF2B5EF4-FFF2-40B4-BE49-F238E27FC236}">
              <a16:creationId xmlns:a16="http://schemas.microsoft.com/office/drawing/2014/main" id="{6E1B54A6-0A31-CFE7-9EDB-E3D955152B9D}"/>
            </a:ext>
          </a:extLst>
        </xdr:cNvPr>
        <xdr:cNvSpPr txBox="1"/>
      </xdr:nvSpPr>
      <xdr:spPr>
        <a:xfrm>
          <a:off x="5249479" y="272150"/>
          <a:ext cx="1506695" cy="280205"/>
        </a:xfrm>
        <a:prstGeom prst="rect">
          <a:avLst/>
        </a:prstGeom>
        <a:solidFill>
          <a:srgbClr val="1F1F1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baseline="0">
              <a:solidFill>
                <a:schemeClr val="bg1">
                  <a:lumMod val="95000"/>
                </a:schemeClr>
              </a:solidFill>
              <a:latin typeface="Kulim park"/>
            </a:rPr>
            <a:t>Filter by department</a:t>
          </a:r>
          <a:endParaRPr lang="en-IN" sz="1200" b="1">
            <a:solidFill>
              <a:schemeClr val="bg1">
                <a:lumMod val="95000"/>
              </a:schemeClr>
            </a:solidFill>
            <a:latin typeface="Kulim park"/>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refreshedDate="45959.945529976852" createdVersion="8" refreshedVersion="8" minRefreshableVersion="3" recordCount="50" xr:uid="{80AB5008-8A8A-45E3-B51E-90FC2CA3BA8B}">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358350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n v="25"/>
    <x v="0"/>
    <x v="0"/>
    <x v="0"/>
    <x v="0"/>
    <s v="Luis Reynolds"/>
    <s v="2019-03-15"/>
    <x v="0"/>
    <x v="0"/>
    <n v="53700"/>
    <s v="C"/>
    <n v="1463"/>
    <s v="Health"/>
    <n v="1"/>
    <n v="1"/>
    <s v="Leadership Training"/>
    <x v="0"/>
    <s v="Certified Professional"/>
  </r>
  <r>
    <n v="9116"/>
    <x v="1"/>
    <x v="1"/>
    <n v="27"/>
    <x v="1"/>
    <x v="1"/>
    <x v="1"/>
    <x v="1"/>
    <s v="Ashley Simmons MD"/>
    <s v="2022-12-20"/>
    <x v="0"/>
    <x v="1"/>
    <n v="91091"/>
    <s v="B"/>
    <n v="1024"/>
    <s v="None"/>
    <n v="19"/>
    <n v="4"/>
    <s v="Excel Workshop"/>
    <x v="0"/>
    <s v="Certified Professional"/>
  </r>
  <r>
    <n v="5120"/>
    <x v="2"/>
    <x v="1"/>
    <n v="34"/>
    <x v="1"/>
    <x v="2"/>
    <x v="2"/>
    <x v="2"/>
    <s v="Cassandra Duncan"/>
    <s v="2022-08-10"/>
    <x v="0"/>
    <x v="2"/>
    <n v="57538"/>
    <s v="D"/>
    <n v="1674"/>
    <s v="None"/>
    <n v="8"/>
    <n v="1"/>
    <s v="None"/>
    <x v="1"/>
    <s v="Advanced Training"/>
  </r>
  <r>
    <n v="8071"/>
    <x v="3"/>
    <x v="0"/>
    <n v="41"/>
    <x v="2"/>
    <x v="2"/>
    <x v="0"/>
    <x v="3"/>
    <s v="Janet Harris"/>
    <s v="2024-09-03"/>
    <x v="1"/>
    <x v="0"/>
    <n v="62993"/>
    <s v="A"/>
    <n v="2695"/>
    <s v="Health + Dental"/>
    <n v="0"/>
    <n v="2"/>
    <s v="None"/>
    <x v="2"/>
    <s v="None"/>
  </r>
  <r>
    <n v="9351"/>
    <x v="4"/>
    <x v="1"/>
    <n v="56"/>
    <x v="3"/>
    <x v="0"/>
    <x v="0"/>
    <x v="2"/>
    <s v="Mr. Frank Clay"/>
    <s v="2019-03-14"/>
    <x v="1"/>
    <x v="1"/>
    <n v="45773"/>
    <s v="A"/>
    <n v="8776"/>
    <s v="Health"/>
    <n v="16"/>
    <n v="4"/>
    <s v="Leadership Training"/>
    <x v="2"/>
    <s v="None"/>
  </r>
  <r>
    <n v="2873"/>
    <x v="5"/>
    <x v="0"/>
    <n v="28"/>
    <x v="1"/>
    <x v="2"/>
    <x v="3"/>
    <x v="2"/>
    <s v="Dorothy Price"/>
    <s v="2017-01-23"/>
    <x v="0"/>
    <x v="1"/>
    <n v="96249"/>
    <s v="C"/>
    <n v="4826"/>
    <s v="Health + Dental"/>
    <n v="7"/>
    <n v="3"/>
    <s v="Leadership Training"/>
    <x v="3"/>
    <s v="Certified Professional"/>
  </r>
  <r>
    <n v="3540"/>
    <x v="6"/>
    <x v="0"/>
    <n v="20"/>
    <x v="0"/>
    <x v="1"/>
    <x v="2"/>
    <x v="2"/>
    <s v="Michele Sexton"/>
    <s v="2024-08-17"/>
    <x v="0"/>
    <x v="2"/>
    <n v="61596"/>
    <s v="C"/>
    <n v="8818"/>
    <s v="Health + Dental"/>
    <n v="4"/>
    <n v="2"/>
    <s v="Leadership Training"/>
    <x v="1"/>
    <s v="None"/>
  </r>
  <r>
    <n v="3653"/>
    <x v="7"/>
    <x v="0"/>
    <n v="58"/>
    <x v="3"/>
    <x v="3"/>
    <x v="1"/>
    <x v="4"/>
    <s v="Richard Schmidt"/>
    <s v="2014-12-09"/>
    <x v="0"/>
    <x v="2"/>
    <n v="97869"/>
    <s v="A"/>
    <n v="1966"/>
    <s v="Health"/>
    <n v="10"/>
    <n v="1"/>
    <s v="Leadership Training"/>
    <x v="0"/>
    <s v="Certified Professional"/>
  </r>
  <r>
    <n v="5587"/>
    <x v="8"/>
    <x v="0"/>
    <n v="44"/>
    <x v="2"/>
    <x v="3"/>
    <x v="2"/>
    <x v="2"/>
    <s v="Teresa Pearson"/>
    <s v="2021-06-28"/>
    <x v="0"/>
    <x v="0"/>
    <n v="81235"/>
    <s v="A"/>
    <n v="6553"/>
    <s v="None"/>
    <n v="16"/>
    <n v="2"/>
    <s v="None"/>
    <x v="1"/>
    <s v="Certified Professional"/>
  </r>
  <r>
    <n v="9554"/>
    <x v="9"/>
    <x v="0"/>
    <n v="29"/>
    <x v="1"/>
    <x v="1"/>
    <x v="2"/>
    <x v="3"/>
    <s v="Laura Hart"/>
    <s v="2018-05-20"/>
    <x v="0"/>
    <x v="1"/>
    <n v="87852"/>
    <s v="A"/>
    <n v="4980"/>
    <s v="Health + Dental"/>
    <n v="19"/>
    <n v="3"/>
    <s v="None"/>
    <x v="2"/>
    <s v="Certified Professional"/>
  </r>
  <r>
    <n v="6213"/>
    <x v="10"/>
    <x v="1"/>
    <n v="23"/>
    <x v="0"/>
    <x v="3"/>
    <x v="0"/>
    <x v="2"/>
    <s v="Andrea May"/>
    <s v="2017-02-13"/>
    <x v="1"/>
    <x v="1"/>
    <n v="59359"/>
    <s v="A"/>
    <n v="9449"/>
    <s v="Health + Dental"/>
    <n v="20"/>
    <n v="3"/>
    <s v="None"/>
    <x v="1"/>
    <s v="None"/>
  </r>
  <r>
    <n v="9105"/>
    <x v="11"/>
    <x v="1"/>
    <n v="30"/>
    <x v="1"/>
    <x v="0"/>
    <x v="1"/>
    <x v="0"/>
    <s v="Casey Martin"/>
    <s v="2024-05-05"/>
    <x v="1"/>
    <x v="2"/>
    <n v="81225"/>
    <s v="D"/>
    <n v="6202"/>
    <s v="Health + Dental"/>
    <n v="2"/>
    <n v="2"/>
    <s v="Excel Workshop"/>
    <x v="4"/>
    <s v="Certified Professional"/>
  </r>
  <r>
    <n v="9508"/>
    <x v="12"/>
    <x v="0"/>
    <n v="49"/>
    <x v="4"/>
    <x v="1"/>
    <x v="0"/>
    <x v="0"/>
    <s v="Amber Allen"/>
    <s v="2022-04-19"/>
    <x v="1"/>
    <x v="0"/>
    <n v="32788"/>
    <s v="D"/>
    <n v="4396"/>
    <s v="Health"/>
    <n v="13"/>
    <n v="5"/>
    <s v="None"/>
    <x v="3"/>
    <s v="Advanced Training"/>
  </r>
  <r>
    <n v="2436"/>
    <x v="13"/>
    <x v="1"/>
    <n v="60"/>
    <x v="3"/>
    <x v="4"/>
    <x v="0"/>
    <x v="3"/>
    <s v="Adam Johnson"/>
    <s v="2015-11-16"/>
    <x v="1"/>
    <x v="2"/>
    <n v="70452"/>
    <s v="D"/>
    <n v="9911"/>
    <s v="None"/>
    <n v="2"/>
    <n v="1"/>
    <s v="None"/>
    <x v="3"/>
    <s v="Certified Professional"/>
  </r>
  <r>
    <n v="4441"/>
    <x v="14"/>
    <x v="1"/>
    <n v="46"/>
    <x v="4"/>
    <x v="1"/>
    <x v="3"/>
    <x v="0"/>
    <s v="Nicole Dominguez"/>
    <s v="2023-09-09"/>
    <x v="0"/>
    <x v="1"/>
    <n v="33045"/>
    <s v="B"/>
    <n v="1456"/>
    <s v="None"/>
    <n v="16"/>
    <n v="3"/>
    <s v="Excel Workshop"/>
    <x v="3"/>
    <s v="None"/>
  </r>
  <r>
    <n v="5827"/>
    <x v="15"/>
    <x v="1"/>
    <n v="57"/>
    <x v="3"/>
    <x v="2"/>
    <x v="3"/>
    <x v="1"/>
    <s v="Andrew Best"/>
    <s v="2017-12-12"/>
    <x v="2"/>
    <x v="2"/>
    <n v="96429"/>
    <s v="C"/>
    <n v="4740"/>
    <s v="None"/>
    <n v="8"/>
    <n v="1"/>
    <s v="Excel Workshop"/>
    <x v="2"/>
    <s v="None"/>
  </r>
  <r>
    <n v="5184"/>
    <x v="16"/>
    <x v="0"/>
    <n v="24"/>
    <x v="0"/>
    <x v="1"/>
    <x v="2"/>
    <x v="2"/>
    <s v="Gabrielle Rodriguez"/>
    <s v="2017-03-10"/>
    <x v="2"/>
    <x v="2"/>
    <n v="33183"/>
    <s v="A"/>
    <n v="8114"/>
    <s v="None"/>
    <n v="4"/>
    <n v="2"/>
    <s v="Excel Workshop"/>
    <x v="4"/>
    <s v="Advanced Training"/>
  </r>
  <r>
    <n v="5874"/>
    <x v="3"/>
    <x v="0"/>
    <n v="35"/>
    <x v="1"/>
    <x v="4"/>
    <x v="3"/>
    <x v="0"/>
    <s v="Allison Harvey"/>
    <s v="2019-03-04"/>
    <x v="2"/>
    <x v="0"/>
    <n v="75065"/>
    <s v="C"/>
    <n v="7123"/>
    <s v="None"/>
    <n v="20"/>
    <n v="2"/>
    <s v="None"/>
    <x v="0"/>
    <s v="Advanced Training"/>
  </r>
  <r>
    <n v="9834"/>
    <x v="17"/>
    <x v="1"/>
    <n v="41"/>
    <x v="2"/>
    <x v="1"/>
    <x v="1"/>
    <x v="4"/>
    <s v="Tristan Mejia"/>
    <s v="2022-11-20"/>
    <x v="0"/>
    <x v="2"/>
    <n v="32877"/>
    <s v="C"/>
    <n v="6432"/>
    <s v="Health"/>
    <n v="11"/>
    <n v="1"/>
    <s v="None"/>
    <x v="0"/>
    <s v="None"/>
  </r>
  <r>
    <n v="5096"/>
    <x v="18"/>
    <x v="1"/>
    <n v="36"/>
    <x v="2"/>
    <x v="1"/>
    <x v="4"/>
    <x v="3"/>
    <s v="Mary Welch"/>
    <s v="2021-03-02"/>
    <x v="0"/>
    <x v="1"/>
    <n v="46811"/>
    <s v="D"/>
    <n v="1567"/>
    <s v="None"/>
    <n v="7"/>
    <n v="3"/>
    <s v="Excel Workshop"/>
    <x v="0"/>
    <s v="Advanced Training"/>
  </r>
  <r>
    <n v="2263"/>
    <x v="19"/>
    <x v="1"/>
    <n v="31"/>
    <x v="1"/>
    <x v="3"/>
    <x v="2"/>
    <x v="1"/>
    <s v="Douglas Miles"/>
    <s v="2021-08-01"/>
    <x v="1"/>
    <x v="1"/>
    <n v="87538"/>
    <s v="C"/>
    <n v="3588"/>
    <s v="Health + Dental"/>
    <n v="11"/>
    <n v="5"/>
    <s v="Excel Workshop"/>
    <x v="2"/>
    <s v="None"/>
  </r>
  <r>
    <n v="6505"/>
    <x v="20"/>
    <x v="0"/>
    <n v="28"/>
    <x v="1"/>
    <x v="0"/>
    <x v="1"/>
    <x v="4"/>
    <s v="Jessica Fleming"/>
    <s v="2015-08-14"/>
    <x v="0"/>
    <x v="1"/>
    <n v="73002"/>
    <s v="C"/>
    <n v="6296"/>
    <s v="Health"/>
    <n v="2"/>
    <n v="5"/>
    <s v="Excel Workshop"/>
    <x v="1"/>
    <s v="Certified Professional"/>
  </r>
  <r>
    <n v="8626"/>
    <x v="21"/>
    <x v="1"/>
    <n v="37"/>
    <x v="2"/>
    <x v="3"/>
    <x v="1"/>
    <x v="3"/>
    <s v="Christine Lee"/>
    <s v="2015-10-21"/>
    <x v="2"/>
    <x v="2"/>
    <n v="41653"/>
    <s v="D"/>
    <n v="9236"/>
    <s v="None"/>
    <n v="13"/>
    <n v="1"/>
    <s v="Excel Workshop"/>
    <x v="0"/>
    <s v="None"/>
  </r>
  <r>
    <n v="5979"/>
    <x v="22"/>
    <x v="0"/>
    <n v="31"/>
    <x v="1"/>
    <x v="0"/>
    <x v="0"/>
    <x v="2"/>
    <s v="Mario Smith DVM"/>
    <s v="2015-03-14"/>
    <x v="1"/>
    <x v="1"/>
    <n v="67582"/>
    <s v="A"/>
    <n v="1375"/>
    <s v="Health"/>
    <n v="20"/>
    <n v="3"/>
    <s v="Excel Workshop"/>
    <x v="1"/>
    <s v="None"/>
  </r>
  <r>
    <n v="3104"/>
    <x v="23"/>
    <x v="0"/>
    <n v="23"/>
    <x v="0"/>
    <x v="3"/>
    <x v="1"/>
    <x v="1"/>
    <s v="Joseph Francis"/>
    <s v="2024-05-22"/>
    <x v="2"/>
    <x v="1"/>
    <n v="37351"/>
    <s v="D"/>
    <n v="7858"/>
    <s v="Health + Dental"/>
    <n v="18"/>
    <n v="2"/>
    <s v="Leadership Training"/>
    <x v="1"/>
    <s v="Advanced Training"/>
  </r>
  <r>
    <n v="8967"/>
    <x v="24"/>
    <x v="0"/>
    <n v="48"/>
    <x v="4"/>
    <x v="4"/>
    <x v="2"/>
    <x v="0"/>
    <s v="Sarah Young"/>
    <s v="2017-03-19"/>
    <x v="0"/>
    <x v="1"/>
    <n v="36721"/>
    <s v="B"/>
    <n v="8820"/>
    <s v="Health + Dental"/>
    <n v="0"/>
    <n v="2"/>
    <s v="Excel Workshop"/>
    <x v="1"/>
    <s v="Certified Professional"/>
  </r>
  <r>
    <n v="5087"/>
    <x v="25"/>
    <x v="1"/>
    <n v="28"/>
    <x v="1"/>
    <x v="2"/>
    <x v="4"/>
    <x v="0"/>
    <s v="Aaron Hart"/>
    <s v="2021-09-15"/>
    <x v="1"/>
    <x v="2"/>
    <n v="46326"/>
    <s v="B"/>
    <n v="9189"/>
    <s v="Health + Dental"/>
    <n v="8"/>
    <n v="4"/>
    <s v="Leadership Training"/>
    <x v="3"/>
    <s v="Advanced Training"/>
  </r>
  <r>
    <n v="3358"/>
    <x v="26"/>
    <x v="1"/>
    <n v="30"/>
    <x v="1"/>
    <x v="1"/>
    <x v="3"/>
    <x v="1"/>
    <s v="Brian Boyd"/>
    <s v="2022-05-09"/>
    <x v="0"/>
    <x v="0"/>
    <n v="59007"/>
    <s v="C"/>
    <n v="3380"/>
    <s v="Health"/>
    <n v="17"/>
    <n v="3"/>
    <s v="None"/>
    <x v="4"/>
    <s v="Certified Professional"/>
  </r>
  <r>
    <n v="8256"/>
    <x v="27"/>
    <x v="1"/>
    <n v="46"/>
    <x v="4"/>
    <x v="3"/>
    <x v="0"/>
    <x v="3"/>
    <s v="Steven Krueger"/>
    <s v="2017-06-22"/>
    <x v="0"/>
    <x v="1"/>
    <n v="52020"/>
    <s v="B"/>
    <n v="9585"/>
    <s v="Health + Dental"/>
    <n v="0"/>
    <n v="4"/>
    <s v="Excel Workshop"/>
    <x v="4"/>
    <s v="None"/>
  </r>
  <r>
    <n v="5763"/>
    <x v="28"/>
    <x v="1"/>
    <n v="44"/>
    <x v="2"/>
    <x v="1"/>
    <x v="2"/>
    <x v="1"/>
    <s v="Debra Williams"/>
    <s v="2020-11-28"/>
    <x v="2"/>
    <x v="1"/>
    <n v="98961"/>
    <s v="D"/>
    <n v="2688"/>
    <s v="Health"/>
    <n v="2"/>
    <n v="5"/>
    <s v="Excel Workshop"/>
    <x v="4"/>
    <s v="Certified Professional"/>
  </r>
  <r>
    <n v="6838"/>
    <x v="29"/>
    <x v="1"/>
    <n v="45"/>
    <x v="2"/>
    <x v="2"/>
    <x v="3"/>
    <x v="2"/>
    <s v="Karen Mitchell"/>
    <s v="2015-08-30"/>
    <x v="2"/>
    <x v="1"/>
    <n v="81943"/>
    <s v="C"/>
    <n v="2255"/>
    <s v="Health"/>
    <n v="18"/>
    <n v="2"/>
    <s v="None"/>
    <x v="2"/>
    <s v="Certified Professional"/>
  </r>
  <r>
    <n v="9544"/>
    <x v="30"/>
    <x v="1"/>
    <n v="52"/>
    <x v="4"/>
    <x v="4"/>
    <x v="2"/>
    <x v="1"/>
    <s v="Joseph Sanders"/>
    <s v="2018-10-27"/>
    <x v="2"/>
    <x v="1"/>
    <n v="47627"/>
    <s v="C"/>
    <n v="1221"/>
    <s v="None"/>
    <n v="4"/>
    <n v="3"/>
    <s v="None"/>
    <x v="1"/>
    <s v="None"/>
  </r>
  <r>
    <n v="8012"/>
    <x v="31"/>
    <x v="0"/>
    <n v="52"/>
    <x v="4"/>
    <x v="0"/>
    <x v="0"/>
    <x v="4"/>
    <s v="Shelly George"/>
    <s v="2018-08-26"/>
    <x v="2"/>
    <x v="1"/>
    <n v="56162"/>
    <s v="D"/>
    <n v="6560"/>
    <s v="Health + Dental"/>
    <n v="9"/>
    <n v="4"/>
    <s v="Excel Workshop"/>
    <x v="3"/>
    <s v="None"/>
  </r>
  <r>
    <n v="9374"/>
    <x v="32"/>
    <x v="0"/>
    <n v="42"/>
    <x v="2"/>
    <x v="1"/>
    <x v="2"/>
    <x v="2"/>
    <s v="Nicole Houston"/>
    <s v="2023-07-24"/>
    <x v="1"/>
    <x v="2"/>
    <n v="95734"/>
    <s v="C"/>
    <n v="4854"/>
    <s v="Health"/>
    <n v="13"/>
    <n v="2"/>
    <s v="Leadership Training"/>
    <x v="0"/>
    <s v="Certified Professional"/>
  </r>
  <r>
    <n v="3487"/>
    <x v="33"/>
    <x v="1"/>
    <n v="58"/>
    <x v="3"/>
    <x v="1"/>
    <x v="1"/>
    <x v="3"/>
    <s v="Kristin Shaffer"/>
    <s v="2018-07-09"/>
    <x v="1"/>
    <x v="2"/>
    <n v="74789"/>
    <s v="C"/>
    <n v="8101"/>
    <s v="Health + Dental"/>
    <n v="14"/>
    <n v="5"/>
    <s v="Excel Workshop"/>
    <x v="2"/>
    <s v="None"/>
  </r>
  <r>
    <n v="8445"/>
    <x v="34"/>
    <x v="0"/>
    <n v="24"/>
    <x v="0"/>
    <x v="4"/>
    <x v="0"/>
    <x v="3"/>
    <s v="Joel Aguilar"/>
    <s v="2016-12-21"/>
    <x v="0"/>
    <x v="2"/>
    <n v="30137"/>
    <s v="B"/>
    <n v="4031"/>
    <s v="None"/>
    <n v="5"/>
    <n v="3"/>
    <s v="None"/>
    <x v="1"/>
    <s v="Certified Professional"/>
  </r>
  <r>
    <n v="1550"/>
    <x v="35"/>
    <x v="1"/>
    <n v="21"/>
    <x v="0"/>
    <x v="1"/>
    <x v="0"/>
    <x v="0"/>
    <s v="Michael Wade"/>
    <s v="2019-06-27"/>
    <x v="0"/>
    <x v="2"/>
    <n v="95510"/>
    <s v="C"/>
    <n v="6811"/>
    <s v="Health"/>
    <n v="18"/>
    <n v="4"/>
    <s v="Excel Workshop"/>
    <x v="4"/>
    <s v="Certified Professional"/>
  </r>
  <r>
    <n v="9968"/>
    <x v="36"/>
    <x v="1"/>
    <n v="58"/>
    <x v="3"/>
    <x v="1"/>
    <x v="3"/>
    <x v="0"/>
    <s v="Jessica Walsh"/>
    <s v="2021-08-27"/>
    <x v="1"/>
    <x v="0"/>
    <n v="80325"/>
    <s v="B"/>
    <n v="6230"/>
    <s v="Health"/>
    <n v="5"/>
    <n v="4"/>
    <s v="None"/>
    <x v="2"/>
    <s v="Advanced Training"/>
  </r>
  <r>
    <n v="8029"/>
    <x v="37"/>
    <x v="0"/>
    <n v="57"/>
    <x v="3"/>
    <x v="3"/>
    <x v="4"/>
    <x v="4"/>
    <s v="Kelly Mack"/>
    <s v="2017-05-28"/>
    <x v="2"/>
    <x v="1"/>
    <n v="34109"/>
    <s v="B"/>
    <n v="9232"/>
    <s v="Health"/>
    <n v="13"/>
    <n v="3"/>
    <s v="Leadership Training"/>
    <x v="0"/>
    <s v="Certified Professional"/>
  </r>
  <r>
    <n v="8847"/>
    <x v="38"/>
    <x v="1"/>
    <n v="41"/>
    <x v="2"/>
    <x v="3"/>
    <x v="3"/>
    <x v="0"/>
    <s v="John Conley"/>
    <s v="2022-01-30"/>
    <x v="2"/>
    <x v="2"/>
    <n v="73330"/>
    <s v="C"/>
    <n v="2276"/>
    <s v="Health + Dental"/>
    <n v="5"/>
    <n v="1"/>
    <s v="None"/>
    <x v="1"/>
    <s v="Advanced Training"/>
  </r>
  <r>
    <n v="1955"/>
    <x v="39"/>
    <x v="0"/>
    <n v="58"/>
    <x v="3"/>
    <x v="2"/>
    <x v="2"/>
    <x v="1"/>
    <s v="Aaron Baker"/>
    <s v="2017-04-20"/>
    <x v="1"/>
    <x v="2"/>
    <n v="46567"/>
    <s v="A"/>
    <n v="2825"/>
    <s v="Health"/>
    <n v="15"/>
    <n v="3"/>
    <s v="None"/>
    <x v="4"/>
    <s v="Advanced Training"/>
  </r>
  <r>
    <n v="4522"/>
    <x v="40"/>
    <x v="0"/>
    <n v="36"/>
    <x v="2"/>
    <x v="0"/>
    <x v="4"/>
    <x v="0"/>
    <s v="Christopher Bass"/>
    <s v="2019-07-22"/>
    <x v="1"/>
    <x v="1"/>
    <n v="39795"/>
    <s v="A"/>
    <n v="1670"/>
    <s v="None"/>
    <n v="0"/>
    <n v="2"/>
    <s v="Excel Workshop"/>
    <x v="3"/>
    <s v="None"/>
  </r>
  <r>
    <n v="3078"/>
    <x v="41"/>
    <x v="0"/>
    <n v="21"/>
    <x v="0"/>
    <x v="0"/>
    <x v="0"/>
    <x v="4"/>
    <s v="Sean Tucker PhD"/>
    <s v="2018-11-29"/>
    <x v="1"/>
    <x v="2"/>
    <n v="59506"/>
    <s v="A"/>
    <n v="4428"/>
    <s v="Health + Dental"/>
    <n v="0"/>
    <n v="1"/>
    <s v="None"/>
    <x v="3"/>
    <s v="Certified Professional"/>
  </r>
  <r>
    <n v="6357"/>
    <x v="42"/>
    <x v="0"/>
    <n v="46"/>
    <x v="4"/>
    <x v="2"/>
    <x v="1"/>
    <x v="4"/>
    <s v="Jacob Scott"/>
    <s v="2022-11-14"/>
    <x v="1"/>
    <x v="2"/>
    <n v="49058"/>
    <s v="B"/>
    <n v="4396"/>
    <s v="None"/>
    <n v="5"/>
    <n v="1"/>
    <s v="None"/>
    <x v="3"/>
    <s v="None"/>
  </r>
  <r>
    <n v="7951"/>
    <x v="43"/>
    <x v="0"/>
    <n v="36"/>
    <x v="2"/>
    <x v="3"/>
    <x v="2"/>
    <x v="4"/>
    <s v="Joel Park"/>
    <s v="2016-02-23"/>
    <x v="1"/>
    <x v="0"/>
    <n v="98612"/>
    <s v="A"/>
    <n v="1168"/>
    <s v="None"/>
    <n v="9"/>
    <n v="2"/>
    <s v="Excel Workshop"/>
    <x v="0"/>
    <s v="Certified Professional"/>
  </r>
  <r>
    <n v="9228"/>
    <x v="44"/>
    <x v="1"/>
    <n v="41"/>
    <x v="2"/>
    <x v="4"/>
    <x v="3"/>
    <x v="1"/>
    <s v="Russell Marshall"/>
    <s v="2018-05-18"/>
    <x v="2"/>
    <x v="1"/>
    <n v="38201"/>
    <s v="A"/>
    <n v="7111"/>
    <s v="Health"/>
    <n v="8"/>
    <n v="4"/>
    <s v="Leadership Training"/>
    <x v="3"/>
    <s v="None"/>
  </r>
  <r>
    <n v="8988"/>
    <x v="45"/>
    <x v="1"/>
    <n v="25"/>
    <x v="0"/>
    <x v="0"/>
    <x v="2"/>
    <x v="2"/>
    <s v="James Holden"/>
    <s v="2024-03-09"/>
    <x v="2"/>
    <x v="1"/>
    <n v="92919"/>
    <s v="D"/>
    <n v="9497"/>
    <s v="Health"/>
    <n v="7"/>
    <n v="2"/>
    <s v="None"/>
    <x v="3"/>
    <s v="Advanced Training"/>
  </r>
  <r>
    <n v="1952"/>
    <x v="46"/>
    <x v="0"/>
    <n v="29"/>
    <x v="1"/>
    <x v="4"/>
    <x v="0"/>
    <x v="1"/>
    <s v="Thomas Murphy"/>
    <s v="2024-03-27"/>
    <x v="0"/>
    <x v="2"/>
    <n v="45188"/>
    <s v="A"/>
    <n v="9591"/>
    <s v="Health + Dental"/>
    <n v="18"/>
    <n v="3"/>
    <s v="Leadership Training"/>
    <x v="3"/>
    <s v="None"/>
  </r>
  <r>
    <n v="5760"/>
    <x v="47"/>
    <x v="0"/>
    <n v="59"/>
    <x v="3"/>
    <x v="2"/>
    <x v="1"/>
    <x v="0"/>
    <s v="Mark Abbott"/>
    <s v="2019-12-23"/>
    <x v="0"/>
    <x v="1"/>
    <n v="34927"/>
    <s v="D"/>
    <n v="6996"/>
    <s v="Health + Dental"/>
    <n v="16"/>
    <n v="1"/>
    <s v="Excel Workshop"/>
    <x v="0"/>
    <s v="Certified Professional"/>
  </r>
  <r>
    <n v="5742"/>
    <x v="48"/>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981AE8-8FBF-43B9-84FA-4689293D6E13}" name="age range to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L10"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6F5123-0F71-4917-88A5-E55FE4003F96}" name="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X9"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2"/>
  </dataFields>
  <formats count="7">
    <format dxfId="6">
      <pivotArea collapsedLevelsAreSubtotals="1" fieldPosition="0">
        <references count="1">
          <reference field="7" count="0"/>
        </references>
      </pivotArea>
    </format>
    <format dxfId="5">
      <pivotArea type="all" dataOnly="0" outline="0" fieldPosition="0"/>
    </format>
    <format dxfId="4">
      <pivotArea outline="0" collapsedLevelsAreSubtotals="1" fieldPosition="0"/>
    </format>
    <format dxfId="3">
      <pivotArea field="7" type="button" dataOnly="0" labelOnly="1" outline="0" axis="axisRow" fieldPosition="0"/>
    </format>
    <format dxfId="2">
      <pivotArea dataOnly="0" labelOnly="1" fieldPosition="0">
        <references count="1">
          <reference field="7"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CFAA83-7835-4C41-89F2-7F25F78AB782}" name="employement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7"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formats count="6">
    <format dxfId="12">
      <pivotArea type="all" dataOnly="0" outline="0" fieldPosition="0"/>
    </format>
    <format dxfId="11">
      <pivotArea outline="0" collapsedLevelsAreSubtotals="1" fieldPosition="0"/>
    </format>
    <format dxfId="10">
      <pivotArea field="10" type="button" dataOnly="0" labelOnly="1" outline="0" axis="axisRow" fieldPosition="0"/>
    </format>
    <format dxfId="9">
      <pivotArea dataOnly="0" labelOnly="1" fieldPosition="0">
        <references count="1">
          <reference field="10" count="0"/>
        </references>
      </pivotArea>
    </format>
    <format dxfId="8">
      <pivotArea dataOnly="0" labelOnly="1" grandRow="1" outline="0"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0F1705-BF19-4572-B188-17E3760E1D18}" name="Reg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U9"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formats count="6">
    <format dxfId="18">
      <pivotArea type="all" dataOnly="0" outline="0" fieldPosition="0"/>
    </format>
    <format dxfId="17">
      <pivotArea outline="0" collapsedLevelsAreSubtotals="1" fieldPosition="0"/>
    </format>
    <format dxfId="16">
      <pivotArea field="5" type="button" dataOnly="0" labelOnly="1" outline="0" axis="axisRow" fieldPosition="0"/>
    </format>
    <format dxfId="15">
      <pivotArea dataOnly="0" labelOnly="1" fieldPosition="0">
        <references count="1">
          <reference field="5" count="0"/>
        </references>
      </pivotArea>
    </format>
    <format dxfId="14">
      <pivotArea dataOnly="0" labelOnly="1" grandRow="1" outline="0"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0F7429-446D-46FF-B46A-DB5D5B244759}" name="workpla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O7"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B1CB11-0D47-45C9-BEE3-FE21FC30B04D}" name="ski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9"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6">
    <format dxfId="24">
      <pivotArea type="all" dataOnly="0" outline="0" fieldPosition="0"/>
    </format>
    <format dxfId="23">
      <pivotArea outline="0" collapsedLevelsAreSubtotals="1" fieldPosition="0"/>
    </format>
    <format dxfId="22">
      <pivotArea field="19" type="button" dataOnly="0" labelOnly="1" outline="0" axis="axisRow" fieldPosition="0"/>
    </format>
    <format dxfId="21">
      <pivotArea dataOnly="0" labelOnly="1" fieldPosition="0">
        <references count="1">
          <reference field="19" count="0"/>
        </references>
      </pivotArea>
    </format>
    <format dxfId="20">
      <pivotArea dataOnly="0" labelOnly="1" grandRow="1" outline="0"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D74159-F3DC-4194-9413-42CF74C6ABAC}" name="sala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9"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numFmtId="164"/>
    <dataField name="Sum of Leave Taken" fld="16" baseField="0" baseItem="0"/>
  </dataFields>
  <formats count="7">
    <format dxfId="31">
      <pivotArea type="all" dataOnly="0" outline="0" fieldPosition="0"/>
    </format>
    <format dxfId="30">
      <pivotArea outline="0" collapsedLevelsAreSubtotals="1" fieldPosition="0"/>
    </format>
    <format dxfId="29">
      <pivotArea field="6" type="button" dataOnly="0" labelOnly="1" outline="0" axis="axisRow" fieldPosition="0"/>
    </format>
    <format dxfId="28">
      <pivotArea dataOnly="0" labelOnly="1" fieldPosition="0">
        <references count="1">
          <reference field="6" count="0"/>
        </references>
      </pivotArea>
    </format>
    <format dxfId="27">
      <pivotArea dataOnly="0" labelOnly="1" grandRow="1" outline="0" fieldPosition="0"/>
    </format>
    <format dxfId="26">
      <pivotArea dataOnly="0" labelOnly="1" outline="0" axis="axisValues"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11635FD-35AF-451F-9CBF-80686AE59B4D}" sourceName="Department">
  <pivotTables>
    <pivotTable tabId="3" name="salaries"/>
    <pivotTable tabId="3" name="age range to gender"/>
    <pivotTable tabId="3" name="Department"/>
    <pivotTable tabId="3" name="employement status"/>
    <pivotTable tabId="3" name="Regions"/>
    <pivotTable tabId="3" name="skills"/>
    <pivotTable tabId="3" name="workplace"/>
  </pivotTables>
  <data>
    <tabular pivotCacheId="1358350059">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935C90-7F73-4F2E-8C80-EED009DE9D42}" sourceName="Gender">
  <pivotTables>
    <pivotTable tabId="3" name="salaries"/>
    <pivotTable tabId="3" name="age range to gender"/>
    <pivotTable tabId="3" name="Department"/>
    <pivotTable tabId="3" name="employement status"/>
    <pivotTable tabId="3" name="Regions"/>
    <pivotTable tabId="3" name="skills"/>
    <pivotTable tabId="3" name="workplace"/>
  </pivotTables>
  <data>
    <tabular pivotCacheId="135835005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1F37107-03A6-478B-BBCF-A35E30465911}" cache="Slicer_Department" caption="Department" columnCount="3" style="Slicer Style 2" rowHeight="234950"/>
  <slicer name="Gender" xr10:uid="{285AA57A-C03F-4A28-9E38-9DDBE7F197F8}" cache="Slicer_Gender" caption="Gender" columnCount="2"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245153-EA42-4395-ACE4-4E6C7BB8C86A}" name="Table1" displayName="Table1" ref="A1:U51" totalsRowShown="0" headerRowDxfId="54" dataDxfId="53">
  <autoFilter ref="A1:U51" xr:uid="{87245153-EA42-4395-ACE4-4E6C7BB8C86A}"/>
  <tableColumns count="21">
    <tableColumn id="1" xr3:uid="{70A513C7-8559-42AF-AF16-526FA88C0C76}" name="Employee ID" dataDxfId="52"/>
    <tableColumn id="2" xr3:uid="{28FA1A49-F844-437A-B51F-A17DADA6DA3D}" name="Full Name" dataDxfId="51"/>
    <tableColumn id="3" xr3:uid="{44120BD5-4F5C-48EA-AF3E-B4A341384951}" name="Gender" dataDxfId="50"/>
    <tableColumn id="4" xr3:uid="{202FD6C4-11EE-4A01-BAFB-E9FECE658358}" name="Age" dataDxfId="49"/>
    <tableColumn id="5" xr3:uid="{26525CFB-781A-4BED-A4C0-8066FFA2BE2B}" name="Age range" dataDxfId="48"/>
    <tableColumn id="6" xr3:uid="{3E8726BB-038A-4AA7-9FC1-82A5F8CBF29A}" name="Region" dataDxfId="47"/>
    <tableColumn id="7" xr3:uid="{91D37010-EE08-4441-8687-650D2C3291D0}" name="Job Title" dataDxfId="46"/>
    <tableColumn id="8" xr3:uid="{6E47C9AA-4D44-4120-9824-7CF6B79B8837}" name="Department" dataDxfId="45"/>
    <tableColumn id="9" xr3:uid="{A1206B52-E1C1-4AF3-BE18-6B16F76A88F3}" name="Manager/Supervisor" dataDxfId="44"/>
    <tableColumn id="10" xr3:uid="{7883C5B3-D0AF-47D8-8D71-EF2A7259552B}" name="Date of Hire" dataDxfId="43"/>
    <tableColumn id="11" xr3:uid="{2A23D16E-00F7-48CB-88DB-8DBE0E5E6281}" name="Employment Status" dataDxfId="42"/>
    <tableColumn id="12" xr3:uid="{123CB0E8-9BCF-45A9-A8AD-F746D679A8FA}" name="Work Location" dataDxfId="41"/>
    <tableColumn id="13" xr3:uid="{344C7079-7311-47E5-A126-3ACD756E2586}" name="Salary" dataDxfId="40"/>
    <tableColumn id="14" xr3:uid="{6EC11874-B13C-4B9E-ADCB-499660BA80F3}" name="Pay Grade" dataDxfId="39"/>
    <tableColumn id="15" xr3:uid="{D1A93B8D-CDCF-46F5-B1D9-1F5BE321ECCA}" name="Bonus/Allowances" dataDxfId="38"/>
    <tableColumn id="16" xr3:uid="{DABBF024-4EB4-451F-B5C8-3306B18828B0}" name="Insurance Details" dataDxfId="37"/>
    <tableColumn id="17" xr3:uid="{2A54A1E2-244B-49EC-B442-369D37E107D9}" name="Leave Taken" dataDxfId="36"/>
    <tableColumn id="18" xr3:uid="{454FFBDE-6D89-468D-823D-115BF019565C}" name="Performance Rating" dataDxfId="35"/>
    <tableColumn id="19" xr3:uid="{3DAAE27C-68DC-4132-A5FD-E9EA0E184A69}" name="Training Programs Attended" dataDxfId="34"/>
    <tableColumn id="20" xr3:uid="{0262B199-6EB8-46F6-A24D-9CABE53C3347}" name="Skills" dataDxfId="33"/>
    <tableColumn id="21" xr3:uid="{E8E51C7D-34C5-4E07-A639-41C807D608DC}" name="Certifications" dataDxfId="3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5231-1FD7-421D-AB40-0166E493610D}">
  <dimension ref="D3"/>
  <sheetViews>
    <sheetView tabSelected="1" topLeftCell="C1" zoomScale="89" zoomScaleNormal="92" workbookViewId="0">
      <selection activeCell="V18" sqref="V18"/>
    </sheetView>
  </sheetViews>
  <sheetFormatPr defaultRowHeight="14.4"/>
  <cols>
    <col min="1" max="16384" width="8.88671875" style="3"/>
  </cols>
  <sheetData>
    <row r="3" spans="4:4">
      <c r="D3"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E4F92-6A07-4C46-A8EE-71F401188D9F}">
  <dimension ref="A1:U51"/>
  <sheetViews>
    <sheetView topLeftCell="I1" workbookViewId="0">
      <selection activeCell="E17" sqref="E17"/>
    </sheetView>
  </sheetViews>
  <sheetFormatPr defaultRowHeight="14.4"/>
  <cols>
    <col min="1" max="1" width="18" bestFit="1" customWidth="1"/>
    <col min="2" max="2" width="16.77734375" bestFit="1" customWidth="1"/>
    <col min="3" max="3" width="12.6640625" bestFit="1" customWidth="1"/>
    <col min="4" max="4" width="9.33203125" bestFit="1" customWidth="1"/>
    <col min="5" max="5" width="15.44140625" bestFit="1" customWidth="1"/>
    <col min="6" max="6" width="12.33203125" bestFit="1" customWidth="1"/>
    <col min="7" max="7" width="13.77734375" bestFit="1" customWidth="1"/>
    <col min="8" max="8" width="16.88671875" bestFit="1" customWidth="1"/>
    <col min="9" max="9" width="25.21875" bestFit="1" customWidth="1"/>
    <col min="10" max="10" width="16.88671875" bestFit="1" customWidth="1"/>
    <col min="11" max="11" width="24.77734375" bestFit="1" customWidth="1"/>
    <col min="12" max="12" width="19.44140625" bestFit="1" customWidth="1"/>
    <col min="13" max="13" width="11.5546875" bestFit="1" customWidth="1"/>
    <col min="14" max="14" width="15.5546875" bestFit="1" customWidth="1"/>
    <col min="15" max="15" width="23.6640625" bestFit="1" customWidth="1"/>
    <col min="16" max="16" width="22.44140625" bestFit="1" customWidth="1"/>
    <col min="17" max="17" width="18" bestFit="1" customWidth="1"/>
    <col min="18" max="18" width="25" bestFit="1" customWidth="1"/>
    <col min="19" max="19" width="33.21875" bestFit="1" customWidth="1"/>
    <col min="20" max="20" width="14.77734375" bestFit="1" customWidth="1"/>
    <col min="21" max="21" width="20.21875" bestFit="1" customWidth="1"/>
  </cols>
  <sheetData>
    <row r="1" spans="1:2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c r="A2" s="5">
        <v>4294</v>
      </c>
      <c r="B2" s="5" t="s">
        <v>21</v>
      </c>
      <c r="C2" s="5" t="s">
        <v>22</v>
      </c>
      <c r="D2" s="5">
        <v>25</v>
      </c>
      <c r="E2" s="5" t="s">
        <v>23</v>
      </c>
      <c r="F2" s="5" t="s">
        <v>24</v>
      </c>
      <c r="G2" s="5" t="s">
        <v>25</v>
      </c>
      <c r="H2" s="5" t="s">
        <v>26</v>
      </c>
      <c r="I2" s="5" t="s">
        <v>27</v>
      </c>
      <c r="J2" s="5" t="s">
        <v>28</v>
      </c>
      <c r="K2" s="5" t="s">
        <v>29</v>
      </c>
      <c r="L2" s="5" t="s">
        <v>30</v>
      </c>
      <c r="M2" s="5">
        <v>53700</v>
      </c>
      <c r="N2" s="5" t="s">
        <v>31</v>
      </c>
      <c r="O2" s="5">
        <v>1463</v>
      </c>
      <c r="P2" s="5" t="s">
        <v>32</v>
      </c>
      <c r="Q2" s="5">
        <v>1</v>
      </c>
      <c r="R2" s="5">
        <v>1</v>
      </c>
      <c r="S2" s="5" t="s">
        <v>33</v>
      </c>
      <c r="T2" s="5" t="s">
        <v>34</v>
      </c>
      <c r="U2" s="5" t="s">
        <v>35</v>
      </c>
    </row>
    <row r="3" spans="1:21">
      <c r="A3" s="5">
        <v>9116</v>
      </c>
      <c r="B3" s="5" t="s">
        <v>36</v>
      </c>
      <c r="C3" s="5" t="s">
        <v>37</v>
      </c>
      <c r="D3" s="5">
        <v>27</v>
      </c>
      <c r="E3" s="5" t="s">
        <v>38</v>
      </c>
      <c r="F3" s="5" t="s">
        <v>39</v>
      </c>
      <c r="G3" s="5" t="s">
        <v>40</v>
      </c>
      <c r="H3" s="5" t="s">
        <v>41</v>
      </c>
      <c r="I3" s="5" t="s">
        <v>42</v>
      </c>
      <c r="J3" s="5" t="s">
        <v>43</v>
      </c>
      <c r="K3" s="5" t="s">
        <v>29</v>
      </c>
      <c r="L3" s="5" t="s">
        <v>44</v>
      </c>
      <c r="M3" s="5">
        <v>91091</v>
      </c>
      <c r="N3" s="5" t="s">
        <v>45</v>
      </c>
      <c r="O3" s="5">
        <v>1024</v>
      </c>
      <c r="P3" s="5" t="s">
        <v>46</v>
      </c>
      <c r="Q3" s="5">
        <v>19</v>
      </c>
      <c r="R3" s="5">
        <v>4</v>
      </c>
      <c r="S3" s="5" t="s">
        <v>47</v>
      </c>
      <c r="T3" s="5" t="s">
        <v>34</v>
      </c>
      <c r="U3" s="5" t="s">
        <v>35</v>
      </c>
    </row>
    <row r="4" spans="1:21">
      <c r="A4" s="5">
        <v>5120</v>
      </c>
      <c r="B4" s="5" t="s">
        <v>48</v>
      </c>
      <c r="C4" s="5" t="s">
        <v>37</v>
      </c>
      <c r="D4" s="5">
        <v>34</v>
      </c>
      <c r="E4" s="5" t="s">
        <v>38</v>
      </c>
      <c r="F4" s="5" t="s">
        <v>49</v>
      </c>
      <c r="G4" s="5" t="s">
        <v>50</v>
      </c>
      <c r="H4" s="5" t="s">
        <v>51</v>
      </c>
      <c r="I4" s="5" t="s">
        <v>52</v>
      </c>
      <c r="J4" s="5" t="s">
        <v>53</v>
      </c>
      <c r="K4" s="5" t="s">
        <v>29</v>
      </c>
      <c r="L4" s="5" t="s">
        <v>54</v>
      </c>
      <c r="M4" s="5">
        <v>57538</v>
      </c>
      <c r="N4" s="5" t="s">
        <v>55</v>
      </c>
      <c r="O4" s="5">
        <v>1674</v>
      </c>
      <c r="P4" s="5" t="s">
        <v>46</v>
      </c>
      <c r="Q4" s="5">
        <v>8</v>
      </c>
      <c r="R4" s="5">
        <v>1</v>
      </c>
      <c r="S4" s="5" t="s">
        <v>46</v>
      </c>
      <c r="T4" s="5" t="s">
        <v>56</v>
      </c>
      <c r="U4" s="5" t="s">
        <v>57</v>
      </c>
    </row>
    <row r="5" spans="1:21">
      <c r="A5" s="5">
        <v>8071</v>
      </c>
      <c r="B5" s="5" t="s">
        <v>58</v>
      </c>
      <c r="C5" s="5" t="s">
        <v>22</v>
      </c>
      <c r="D5" s="5">
        <v>41</v>
      </c>
      <c r="E5" s="5" t="s">
        <v>59</v>
      </c>
      <c r="F5" s="5" t="s">
        <v>49</v>
      </c>
      <c r="G5" s="5" t="s">
        <v>25</v>
      </c>
      <c r="H5" s="5" t="s">
        <v>60</v>
      </c>
      <c r="I5" s="5" t="s">
        <v>61</v>
      </c>
      <c r="J5" s="5" t="s">
        <v>62</v>
      </c>
      <c r="K5" s="5" t="s">
        <v>63</v>
      </c>
      <c r="L5" s="5" t="s">
        <v>30</v>
      </c>
      <c r="M5" s="5">
        <v>62993</v>
      </c>
      <c r="N5" s="5" t="s">
        <v>64</v>
      </c>
      <c r="O5" s="5">
        <v>2695</v>
      </c>
      <c r="P5" s="5" t="s">
        <v>65</v>
      </c>
      <c r="Q5" s="5">
        <v>0</v>
      </c>
      <c r="R5" s="5">
        <v>2</v>
      </c>
      <c r="S5" s="5" t="s">
        <v>46</v>
      </c>
      <c r="T5" s="5" t="s">
        <v>66</v>
      </c>
      <c r="U5" s="5" t="s">
        <v>46</v>
      </c>
    </row>
    <row r="6" spans="1:21">
      <c r="A6" s="5">
        <v>9351</v>
      </c>
      <c r="B6" s="5" t="s">
        <v>67</v>
      </c>
      <c r="C6" s="5" t="s">
        <v>37</v>
      </c>
      <c r="D6" s="5">
        <v>56</v>
      </c>
      <c r="E6" s="5" t="s">
        <v>68</v>
      </c>
      <c r="F6" s="5" t="s">
        <v>24</v>
      </c>
      <c r="G6" s="5" t="s">
        <v>25</v>
      </c>
      <c r="H6" s="5" t="s">
        <v>51</v>
      </c>
      <c r="I6" s="5" t="s">
        <v>69</v>
      </c>
      <c r="J6" s="5" t="s">
        <v>70</v>
      </c>
      <c r="K6" s="5" t="s">
        <v>63</v>
      </c>
      <c r="L6" s="5" t="s">
        <v>44</v>
      </c>
      <c r="M6" s="5">
        <v>45773</v>
      </c>
      <c r="N6" s="5" t="s">
        <v>64</v>
      </c>
      <c r="O6" s="5">
        <v>8776</v>
      </c>
      <c r="P6" s="5" t="s">
        <v>32</v>
      </c>
      <c r="Q6" s="5">
        <v>16</v>
      </c>
      <c r="R6" s="5">
        <v>4</v>
      </c>
      <c r="S6" s="5" t="s">
        <v>33</v>
      </c>
      <c r="T6" s="5" t="s">
        <v>66</v>
      </c>
      <c r="U6" s="5" t="s">
        <v>46</v>
      </c>
    </row>
    <row r="7" spans="1:21">
      <c r="A7" s="5">
        <v>2873</v>
      </c>
      <c r="B7" s="5" t="s">
        <v>71</v>
      </c>
      <c r="C7" s="5" t="s">
        <v>22</v>
      </c>
      <c r="D7" s="5">
        <v>28</v>
      </c>
      <c r="E7" s="5" t="s">
        <v>38</v>
      </c>
      <c r="F7" s="5" t="s">
        <v>49</v>
      </c>
      <c r="G7" s="5" t="s">
        <v>72</v>
      </c>
      <c r="H7" s="5" t="s">
        <v>51</v>
      </c>
      <c r="I7" s="5" t="s">
        <v>73</v>
      </c>
      <c r="J7" s="5" t="s">
        <v>74</v>
      </c>
      <c r="K7" s="5" t="s">
        <v>29</v>
      </c>
      <c r="L7" s="5" t="s">
        <v>44</v>
      </c>
      <c r="M7" s="5">
        <v>96249</v>
      </c>
      <c r="N7" s="5" t="s">
        <v>31</v>
      </c>
      <c r="O7" s="5">
        <v>4826</v>
      </c>
      <c r="P7" s="5" t="s">
        <v>65</v>
      </c>
      <c r="Q7" s="5">
        <v>7</v>
      </c>
      <c r="R7" s="5">
        <v>3</v>
      </c>
      <c r="S7" s="5" t="s">
        <v>33</v>
      </c>
      <c r="T7" s="5" t="s">
        <v>75</v>
      </c>
      <c r="U7" s="5" t="s">
        <v>35</v>
      </c>
    </row>
    <row r="8" spans="1:21">
      <c r="A8" s="5">
        <v>3540</v>
      </c>
      <c r="B8" s="5" t="s">
        <v>76</v>
      </c>
      <c r="C8" s="5" t="s">
        <v>22</v>
      </c>
      <c r="D8" s="5">
        <v>20</v>
      </c>
      <c r="E8" s="5" t="s">
        <v>23</v>
      </c>
      <c r="F8" s="5" t="s">
        <v>39</v>
      </c>
      <c r="G8" s="5" t="s">
        <v>50</v>
      </c>
      <c r="H8" s="5" t="s">
        <v>51</v>
      </c>
      <c r="I8" s="5" t="s">
        <v>77</v>
      </c>
      <c r="J8" s="5" t="s">
        <v>78</v>
      </c>
      <c r="K8" s="5" t="s">
        <v>29</v>
      </c>
      <c r="L8" s="5" t="s">
        <v>54</v>
      </c>
      <c r="M8" s="5">
        <v>61596</v>
      </c>
      <c r="N8" s="5" t="s">
        <v>31</v>
      </c>
      <c r="O8" s="5">
        <v>8818</v>
      </c>
      <c r="P8" s="5" t="s">
        <v>65</v>
      </c>
      <c r="Q8" s="5">
        <v>4</v>
      </c>
      <c r="R8" s="5">
        <v>2</v>
      </c>
      <c r="S8" s="5" t="s">
        <v>33</v>
      </c>
      <c r="T8" s="5" t="s">
        <v>56</v>
      </c>
      <c r="U8" s="5" t="s">
        <v>46</v>
      </c>
    </row>
    <row r="9" spans="1:21">
      <c r="A9" s="5">
        <v>3653</v>
      </c>
      <c r="B9" s="5" t="s">
        <v>79</v>
      </c>
      <c r="C9" s="5" t="s">
        <v>22</v>
      </c>
      <c r="D9" s="5">
        <v>58</v>
      </c>
      <c r="E9" s="5" t="s">
        <v>68</v>
      </c>
      <c r="F9" s="5" t="s">
        <v>80</v>
      </c>
      <c r="G9" s="5" t="s">
        <v>40</v>
      </c>
      <c r="H9" s="5" t="s">
        <v>81</v>
      </c>
      <c r="I9" s="5" t="s">
        <v>82</v>
      </c>
      <c r="J9" s="5" t="s">
        <v>83</v>
      </c>
      <c r="K9" s="5" t="s">
        <v>29</v>
      </c>
      <c r="L9" s="5" t="s">
        <v>54</v>
      </c>
      <c r="M9" s="5">
        <v>97869</v>
      </c>
      <c r="N9" s="5" t="s">
        <v>64</v>
      </c>
      <c r="O9" s="5">
        <v>1966</v>
      </c>
      <c r="P9" s="5" t="s">
        <v>32</v>
      </c>
      <c r="Q9" s="5">
        <v>10</v>
      </c>
      <c r="R9" s="5">
        <v>1</v>
      </c>
      <c r="S9" s="5" t="s">
        <v>33</v>
      </c>
      <c r="T9" s="5" t="s">
        <v>34</v>
      </c>
      <c r="U9" s="5" t="s">
        <v>35</v>
      </c>
    </row>
    <row r="10" spans="1:21">
      <c r="A10" s="5">
        <v>5587</v>
      </c>
      <c r="B10" s="5" t="s">
        <v>84</v>
      </c>
      <c r="C10" s="5" t="s">
        <v>22</v>
      </c>
      <c r="D10" s="5">
        <v>44</v>
      </c>
      <c r="E10" s="5" t="s">
        <v>59</v>
      </c>
      <c r="F10" s="5" t="s">
        <v>80</v>
      </c>
      <c r="G10" s="5" t="s">
        <v>50</v>
      </c>
      <c r="H10" s="5" t="s">
        <v>51</v>
      </c>
      <c r="I10" s="5" t="s">
        <v>85</v>
      </c>
      <c r="J10" s="5" t="s">
        <v>86</v>
      </c>
      <c r="K10" s="5" t="s">
        <v>29</v>
      </c>
      <c r="L10" s="5" t="s">
        <v>30</v>
      </c>
      <c r="M10" s="5">
        <v>81235</v>
      </c>
      <c r="N10" s="5" t="s">
        <v>64</v>
      </c>
      <c r="O10" s="5">
        <v>6553</v>
      </c>
      <c r="P10" s="5" t="s">
        <v>46</v>
      </c>
      <c r="Q10" s="5">
        <v>16</v>
      </c>
      <c r="R10" s="5">
        <v>2</v>
      </c>
      <c r="S10" s="5" t="s">
        <v>46</v>
      </c>
      <c r="T10" s="5" t="s">
        <v>56</v>
      </c>
      <c r="U10" s="5" t="s">
        <v>35</v>
      </c>
    </row>
    <row r="11" spans="1:21">
      <c r="A11" s="5">
        <v>9554</v>
      </c>
      <c r="B11" s="5" t="s">
        <v>87</v>
      </c>
      <c r="C11" s="5" t="s">
        <v>22</v>
      </c>
      <c r="D11" s="5">
        <v>29</v>
      </c>
      <c r="E11" s="5" t="s">
        <v>38</v>
      </c>
      <c r="F11" s="5" t="s">
        <v>39</v>
      </c>
      <c r="G11" s="5" t="s">
        <v>50</v>
      </c>
      <c r="H11" s="5" t="s">
        <v>60</v>
      </c>
      <c r="I11" s="5" t="s">
        <v>88</v>
      </c>
      <c r="J11" s="5" t="s">
        <v>89</v>
      </c>
      <c r="K11" s="5" t="s">
        <v>29</v>
      </c>
      <c r="L11" s="5" t="s">
        <v>44</v>
      </c>
      <c r="M11" s="5">
        <v>87852</v>
      </c>
      <c r="N11" s="5" t="s">
        <v>64</v>
      </c>
      <c r="O11" s="5">
        <v>4980</v>
      </c>
      <c r="P11" s="5" t="s">
        <v>65</v>
      </c>
      <c r="Q11" s="5">
        <v>19</v>
      </c>
      <c r="R11" s="5">
        <v>3</v>
      </c>
      <c r="S11" s="5" t="s">
        <v>46</v>
      </c>
      <c r="T11" s="5" t="s">
        <v>66</v>
      </c>
      <c r="U11" s="5" t="s">
        <v>35</v>
      </c>
    </row>
    <row r="12" spans="1:21">
      <c r="A12" s="5">
        <v>6213</v>
      </c>
      <c r="B12" s="5" t="s">
        <v>90</v>
      </c>
      <c r="C12" s="5" t="s">
        <v>37</v>
      </c>
      <c r="D12" s="5">
        <v>23</v>
      </c>
      <c r="E12" s="5" t="s">
        <v>23</v>
      </c>
      <c r="F12" s="5" t="s">
        <v>80</v>
      </c>
      <c r="G12" s="5" t="s">
        <v>25</v>
      </c>
      <c r="H12" s="5" t="s">
        <v>51</v>
      </c>
      <c r="I12" s="5" t="s">
        <v>91</v>
      </c>
      <c r="J12" s="5" t="s">
        <v>92</v>
      </c>
      <c r="K12" s="5" t="s">
        <v>63</v>
      </c>
      <c r="L12" s="5" t="s">
        <v>44</v>
      </c>
      <c r="M12" s="5">
        <v>59359</v>
      </c>
      <c r="N12" s="5" t="s">
        <v>64</v>
      </c>
      <c r="O12" s="5">
        <v>9449</v>
      </c>
      <c r="P12" s="5" t="s">
        <v>65</v>
      </c>
      <c r="Q12" s="5">
        <v>20</v>
      </c>
      <c r="R12" s="5">
        <v>3</v>
      </c>
      <c r="S12" s="5" t="s">
        <v>46</v>
      </c>
      <c r="T12" s="5" t="s">
        <v>56</v>
      </c>
      <c r="U12" s="5" t="s">
        <v>46</v>
      </c>
    </row>
    <row r="13" spans="1:21">
      <c r="A13" s="5">
        <v>9105</v>
      </c>
      <c r="B13" s="5" t="s">
        <v>93</v>
      </c>
      <c r="C13" s="5" t="s">
        <v>37</v>
      </c>
      <c r="D13" s="5">
        <v>30</v>
      </c>
      <c r="E13" s="5" t="s">
        <v>38</v>
      </c>
      <c r="F13" s="5" t="s">
        <v>24</v>
      </c>
      <c r="G13" s="5" t="s">
        <v>40</v>
      </c>
      <c r="H13" s="5" t="s">
        <v>26</v>
      </c>
      <c r="I13" s="5" t="s">
        <v>94</v>
      </c>
      <c r="J13" s="5" t="s">
        <v>95</v>
      </c>
      <c r="K13" s="5" t="s">
        <v>63</v>
      </c>
      <c r="L13" s="5" t="s">
        <v>54</v>
      </c>
      <c r="M13" s="5">
        <v>81225</v>
      </c>
      <c r="N13" s="5" t="s">
        <v>55</v>
      </c>
      <c r="O13" s="5">
        <v>6202</v>
      </c>
      <c r="P13" s="5" t="s">
        <v>65</v>
      </c>
      <c r="Q13" s="5">
        <v>2</v>
      </c>
      <c r="R13" s="5">
        <v>2</v>
      </c>
      <c r="S13" s="5" t="s">
        <v>47</v>
      </c>
      <c r="T13" s="5" t="s">
        <v>96</v>
      </c>
      <c r="U13" s="5" t="s">
        <v>35</v>
      </c>
    </row>
    <row r="14" spans="1:21">
      <c r="A14" s="5">
        <v>9508</v>
      </c>
      <c r="B14" s="5" t="s">
        <v>97</v>
      </c>
      <c r="C14" s="5" t="s">
        <v>22</v>
      </c>
      <c r="D14" s="5">
        <v>49</v>
      </c>
      <c r="E14" s="5" t="s">
        <v>98</v>
      </c>
      <c r="F14" s="5" t="s">
        <v>39</v>
      </c>
      <c r="G14" s="5" t="s">
        <v>25</v>
      </c>
      <c r="H14" s="5" t="s">
        <v>26</v>
      </c>
      <c r="I14" s="5" t="s">
        <v>99</v>
      </c>
      <c r="J14" s="5" t="s">
        <v>100</v>
      </c>
      <c r="K14" s="5" t="s">
        <v>63</v>
      </c>
      <c r="L14" s="5" t="s">
        <v>30</v>
      </c>
      <c r="M14" s="5">
        <v>32788</v>
      </c>
      <c r="N14" s="5" t="s">
        <v>55</v>
      </c>
      <c r="O14" s="5">
        <v>4396</v>
      </c>
      <c r="P14" s="5" t="s">
        <v>32</v>
      </c>
      <c r="Q14" s="5">
        <v>13</v>
      </c>
      <c r="R14" s="5">
        <v>5</v>
      </c>
      <c r="S14" s="5" t="s">
        <v>46</v>
      </c>
      <c r="T14" s="5" t="s">
        <v>75</v>
      </c>
      <c r="U14" s="5" t="s">
        <v>57</v>
      </c>
    </row>
    <row r="15" spans="1:21">
      <c r="A15" s="5">
        <v>2436</v>
      </c>
      <c r="B15" s="5" t="s">
        <v>101</v>
      </c>
      <c r="C15" s="5" t="s">
        <v>37</v>
      </c>
      <c r="D15" s="5">
        <v>60</v>
      </c>
      <c r="E15" s="5" t="s">
        <v>68</v>
      </c>
      <c r="F15" s="5" t="s">
        <v>102</v>
      </c>
      <c r="G15" s="5" t="s">
        <v>25</v>
      </c>
      <c r="H15" s="5" t="s">
        <v>60</v>
      </c>
      <c r="I15" s="5" t="s">
        <v>103</v>
      </c>
      <c r="J15" s="5" t="s">
        <v>104</v>
      </c>
      <c r="K15" s="5" t="s">
        <v>63</v>
      </c>
      <c r="L15" s="5" t="s">
        <v>54</v>
      </c>
      <c r="M15" s="5">
        <v>70452</v>
      </c>
      <c r="N15" s="5" t="s">
        <v>55</v>
      </c>
      <c r="O15" s="5">
        <v>9911</v>
      </c>
      <c r="P15" s="5" t="s">
        <v>46</v>
      </c>
      <c r="Q15" s="5">
        <v>2</v>
      </c>
      <c r="R15" s="5">
        <v>1</v>
      </c>
      <c r="S15" s="5" t="s">
        <v>46</v>
      </c>
      <c r="T15" s="5" t="s">
        <v>75</v>
      </c>
      <c r="U15" s="5" t="s">
        <v>35</v>
      </c>
    </row>
    <row r="16" spans="1:21">
      <c r="A16" s="5">
        <v>4441</v>
      </c>
      <c r="B16" s="5" t="s">
        <v>105</v>
      </c>
      <c r="C16" s="5" t="s">
        <v>37</v>
      </c>
      <c r="D16" s="5">
        <v>46</v>
      </c>
      <c r="E16" s="5" t="s">
        <v>98</v>
      </c>
      <c r="F16" s="5" t="s">
        <v>39</v>
      </c>
      <c r="G16" s="5" t="s">
        <v>72</v>
      </c>
      <c r="H16" s="5" t="s">
        <v>26</v>
      </c>
      <c r="I16" s="5" t="s">
        <v>106</v>
      </c>
      <c r="J16" s="5" t="s">
        <v>107</v>
      </c>
      <c r="K16" s="5" t="s">
        <v>29</v>
      </c>
      <c r="L16" s="5" t="s">
        <v>44</v>
      </c>
      <c r="M16" s="5">
        <v>33045</v>
      </c>
      <c r="N16" s="5" t="s">
        <v>45</v>
      </c>
      <c r="O16" s="5">
        <v>1456</v>
      </c>
      <c r="P16" s="5" t="s">
        <v>46</v>
      </c>
      <c r="Q16" s="5">
        <v>16</v>
      </c>
      <c r="R16" s="5">
        <v>3</v>
      </c>
      <c r="S16" s="5" t="s">
        <v>47</v>
      </c>
      <c r="T16" s="5" t="s">
        <v>75</v>
      </c>
      <c r="U16" s="5" t="s">
        <v>46</v>
      </c>
    </row>
    <row r="17" spans="1:21">
      <c r="A17" s="5">
        <v>5827</v>
      </c>
      <c r="B17" s="5" t="s">
        <v>108</v>
      </c>
      <c r="C17" s="5" t="s">
        <v>37</v>
      </c>
      <c r="D17" s="5">
        <v>57</v>
      </c>
      <c r="E17" s="5" t="s">
        <v>68</v>
      </c>
      <c r="F17" s="5" t="s">
        <v>49</v>
      </c>
      <c r="G17" s="5" t="s">
        <v>72</v>
      </c>
      <c r="H17" s="5" t="s">
        <v>41</v>
      </c>
      <c r="I17" s="5" t="s">
        <v>109</v>
      </c>
      <c r="J17" s="5" t="s">
        <v>110</v>
      </c>
      <c r="K17" s="5" t="s">
        <v>111</v>
      </c>
      <c r="L17" s="5" t="s">
        <v>54</v>
      </c>
      <c r="M17" s="5">
        <v>96429</v>
      </c>
      <c r="N17" s="5" t="s">
        <v>31</v>
      </c>
      <c r="O17" s="5">
        <v>4740</v>
      </c>
      <c r="P17" s="5" t="s">
        <v>46</v>
      </c>
      <c r="Q17" s="5">
        <v>8</v>
      </c>
      <c r="R17" s="5">
        <v>1</v>
      </c>
      <c r="S17" s="5" t="s">
        <v>47</v>
      </c>
      <c r="T17" s="5" t="s">
        <v>66</v>
      </c>
      <c r="U17" s="5" t="s">
        <v>46</v>
      </c>
    </row>
    <row r="18" spans="1:21">
      <c r="A18" s="5">
        <v>5184</v>
      </c>
      <c r="B18" s="5" t="s">
        <v>112</v>
      </c>
      <c r="C18" s="5" t="s">
        <v>22</v>
      </c>
      <c r="D18" s="5">
        <v>24</v>
      </c>
      <c r="E18" s="5" t="s">
        <v>23</v>
      </c>
      <c r="F18" s="5" t="s">
        <v>39</v>
      </c>
      <c r="G18" s="5" t="s">
        <v>50</v>
      </c>
      <c r="H18" s="5" t="s">
        <v>51</v>
      </c>
      <c r="I18" s="5" t="s">
        <v>113</v>
      </c>
      <c r="J18" s="5" t="s">
        <v>114</v>
      </c>
      <c r="K18" s="5" t="s">
        <v>111</v>
      </c>
      <c r="L18" s="5" t="s">
        <v>54</v>
      </c>
      <c r="M18" s="5">
        <v>33183</v>
      </c>
      <c r="N18" s="5" t="s">
        <v>64</v>
      </c>
      <c r="O18" s="5">
        <v>8114</v>
      </c>
      <c r="P18" s="5" t="s">
        <v>46</v>
      </c>
      <c r="Q18" s="5">
        <v>4</v>
      </c>
      <c r="R18" s="5">
        <v>2</v>
      </c>
      <c r="S18" s="5" t="s">
        <v>47</v>
      </c>
      <c r="T18" s="5" t="s">
        <v>96</v>
      </c>
      <c r="U18" s="5" t="s">
        <v>57</v>
      </c>
    </row>
    <row r="19" spans="1:21">
      <c r="A19" s="5">
        <v>5874</v>
      </c>
      <c r="B19" s="5" t="s">
        <v>58</v>
      </c>
      <c r="C19" s="5" t="s">
        <v>22</v>
      </c>
      <c r="D19" s="5">
        <v>35</v>
      </c>
      <c r="E19" s="5" t="s">
        <v>38</v>
      </c>
      <c r="F19" s="5" t="s">
        <v>102</v>
      </c>
      <c r="G19" s="5" t="s">
        <v>72</v>
      </c>
      <c r="H19" s="5" t="s">
        <v>26</v>
      </c>
      <c r="I19" s="5" t="s">
        <v>115</v>
      </c>
      <c r="J19" s="5" t="s">
        <v>116</v>
      </c>
      <c r="K19" s="5" t="s">
        <v>111</v>
      </c>
      <c r="L19" s="5" t="s">
        <v>30</v>
      </c>
      <c r="M19" s="5">
        <v>75065</v>
      </c>
      <c r="N19" s="5" t="s">
        <v>31</v>
      </c>
      <c r="O19" s="5">
        <v>7123</v>
      </c>
      <c r="P19" s="5" t="s">
        <v>46</v>
      </c>
      <c r="Q19" s="5">
        <v>20</v>
      </c>
      <c r="R19" s="5">
        <v>2</v>
      </c>
      <c r="S19" s="5" t="s">
        <v>46</v>
      </c>
      <c r="T19" s="5" t="s">
        <v>34</v>
      </c>
      <c r="U19" s="5" t="s">
        <v>57</v>
      </c>
    </row>
    <row r="20" spans="1:21">
      <c r="A20" s="5">
        <v>9834</v>
      </c>
      <c r="B20" s="5" t="s">
        <v>117</v>
      </c>
      <c r="C20" s="5" t="s">
        <v>37</v>
      </c>
      <c r="D20" s="5">
        <v>41</v>
      </c>
      <c r="E20" s="5" t="s">
        <v>59</v>
      </c>
      <c r="F20" s="5" t="s">
        <v>39</v>
      </c>
      <c r="G20" s="5" t="s">
        <v>40</v>
      </c>
      <c r="H20" s="5" t="s">
        <v>81</v>
      </c>
      <c r="I20" s="5" t="s">
        <v>118</v>
      </c>
      <c r="J20" s="5" t="s">
        <v>119</v>
      </c>
      <c r="K20" s="5" t="s">
        <v>29</v>
      </c>
      <c r="L20" s="5" t="s">
        <v>54</v>
      </c>
      <c r="M20" s="5">
        <v>32877</v>
      </c>
      <c r="N20" s="5" t="s">
        <v>31</v>
      </c>
      <c r="O20" s="5">
        <v>6432</v>
      </c>
      <c r="P20" s="5" t="s">
        <v>32</v>
      </c>
      <c r="Q20" s="5">
        <v>11</v>
      </c>
      <c r="R20" s="5">
        <v>1</v>
      </c>
      <c r="S20" s="5" t="s">
        <v>46</v>
      </c>
      <c r="T20" s="5" t="s">
        <v>34</v>
      </c>
      <c r="U20" s="5" t="s">
        <v>46</v>
      </c>
    </row>
    <row r="21" spans="1:21">
      <c r="A21" s="5">
        <v>5096</v>
      </c>
      <c r="B21" s="5" t="s">
        <v>120</v>
      </c>
      <c r="C21" s="5" t="s">
        <v>37</v>
      </c>
      <c r="D21" s="5">
        <v>36</v>
      </c>
      <c r="E21" s="5" t="s">
        <v>59</v>
      </c>
      <c r="F21" s="5" t="s">
        <v>39</v>
      </c>
      <c r="G21" s="5" t="s">
        <v>121</v>
      </c>
      <c r="H21" s="5" t="s">
        <v>60</v>
      </c>
      <c r="I21" s="5" t="s">
        <v>122</v>
      </c>
      <c r="J21" s="5" t="s">
        <v>123</v>
      </c>
      <c r="K21" s="5" t="s">
        <v>29</v>
      </c>
      <c r="L21" s="5" t="s">
        <v>44</v>
      </c>
      <c r="M21" s="5">
        <v>46811</v>
      </c>
      <c r="N21" s="5" t="s">
        <v>55</v>
      </c>
      <c r="O21" s="5">
        <v>1567</v>
      </c>
      <c r="P21" s="5" t="s">
        <v>46</v>
      </c>
      <c r="Q21" s="5">
        <v>7</v>
      </c>
      <c r="R21" s="5">
        <v>3</v>
      </c>
      <c r="S21" s="5" t="s">
        <v>47</v>
      </c>
      <c r="T21" s="5" t="s">
        <v>34</v>
      </c>
      <c r="U21" s="5" t="s">
        <v>57</v>
      </c>
    </row>
    <row r="22" spans="1:21">
      <c r="A22" s="5">
        <v>2263</v>
      </c>
      <c r="B22" s="5" t="s">
        <v>124</v>
      </c>
      <c r="C22" s="5" t="s">
        <v>37</v>
      </c>
      <c r="D22" s="5">
        <v>31</v>
      </c>
      <c r="E22" s="5" t="s">
        <v>38</v>
      </c>
      <c r="F22" s="5" t="s">
        <v>80</v>
      </c>
      <c r="G22" s="5" t="s">
        <v>50</v>
      </c>
      <c r="H22" s="5" t="s">
        <v>41</v>
      </c>
      <c r="I22" s="5" t="s">
        <v>125</v>
      </c>
      <c r="J22" s="5" t="s">
        <v>126</v>
      </c>
      <c r="K22" s="5" t="s">
        <v>63</v>
      </c>
      <c r="L22" s="5" t="s">
        <v>44</v>
      </c>
      <c r="M22" s="5">
        <v>87538</v>
      </c>
      <c r="N22" s="5" t="s">
        <v>31</v>
      </c>
      <c r="O22" s="5">
        <v>3588</v>
      </c>
      <c r="P22" s="5" t="s">
        <v>65</v>
      </c>
      <c r="Q22" s="5">
        <v>11</v>
      </c>
      <c r="R22" s="5">
        <v>5</v>
      </c>
      <c r="S22" s="5" t="s">
        <v>47</v>
      </c>
      <c r="T22" s="5" t="s">
        <v>66</v>
      </c>
      <c r="U22" s="5" t="s">
        <v>46</v>
      </c>
    </row>
    <row r="23" spans="1:21">
      <c r="A23" s="5">
        <v>6505</v>
      </c>
      <c r="B23" s="5" t="s">
        <v>127</v>
      </c>
      <c r="C23" s="5" t="s">
        <v>22</v>
      </c>
      <c r="D23" s="5">
        <v>28</v>
      </c>
      <c r="E23" s="5" t="s">
        <v>38</v>
      </c>
      <c r="F23" s="5" t="s">
        <v>24</v>
      </c>
      <c r="G23" s="5" t="s">
        <v>40</v>
      </c>
      <c r="H23" s="5" t="s">
        <v>81</v>
      </c>
      <c r="I23" s="5" t="s">
        <v>128</v>
      </c>
      <c r="J23" s="5" t="s">
        <v>129</v>
      </c>
      <c r="K23" s="5" t="s">
        <v>29</v>
      </c>
      <c r="L23" s="5" t="s">
        <v>44</v>
      </c>
      <c r="M23" s="5">
        <v>73002</v>
      </c>
      <c r="N23" s="5" t="s">
        <v>31</v>
      </c>
      <c r="O23" s="5">
        <v>6296</v>
      </c>
      <c r="P23" s="5" t="s">
        <v>32</v>
      </c>
      <c r="Q23" s="5">
        <v>2</v>
      </c>
      <c r="R23" s="5">
        <v>5</v>
      </c>
      <c r="S23" s="5" t="s">
        <v>47</v>
      </c>
      <c r="T23" s="5" t="s">
        <v>56</v>
      </c>
      <c r="U23" s="5" t="s">
        <v>35</v>
      </c>
    </row>
    <row r="24" spans="1:21">
      <c r="A24" s="5">
        <v>8626</v>
      </c>
      <c r="B24" s="5" t="s">
        <v>130</v>
      </c>
      <c r="C24" s="5" t="s">
        <v>37</v>
      </c>
      <c r="D24" s="5">
        <v>37</v>
      </c>
      <c r="E24" s="5" t="s">
        <v>59</v>
      </c>
      <c r="F24" s="5" t="s">
        <v>80</v>
      </c>
      <c r="G24" s="5" t="s">
        <v>40</v>
      </c>
      <c r="H24" s="5" t="s">
        <v>60</v>
      </c>
      <c r="I24" s="5" t="s">
        <v>131</v>
      </c>
      <c r="J24" s="5" t="s">
        <v>132</v>
      </c>
      <c r="K24" s="5" t="s">
        <v>111</v>
      </c>
      <c r="L24" s="5" t="s">
        <v>54</v>
      </c>
      <c r="M24" s="5">
        <v>41653</v>
      </c>
      <c r="N24" s="5" t="s">
        <v>55</v>
      </c>
      <c r="O24" s="5">
        <v>9236</v>
      </c>
      <c r="P24" s="5" t="s">
        <v>46</v>
      </c>
      <c r="Q24" s="5">
        <v>13</v>
      </c>
      <c r="R24" s="5">
        <v>1</v>
      </c>
      <c r="S24" s="5" t="s">
        <v>47</v>
      </c>
      <c r="T24" s="5" t="s">
        <v>34</v>
      </c>
      <c r="U24" s="5" t="s">
        <v>46</v>
      </c>
    </row>
    <row r="25" spans="1:21">
      <c r="A25" s="5">
        <v>5979</v>
      </c>
      <c r="B25" s="5" t="s">
        <v>133</v>
      </c>
      <c r="C25" s="5" t="s">
        <v>22</v>
      </c>
      <c r="D25" s="5">
        <v>31</v>
      </c>
      <c r="E25" s="5" t="s">
        <v>38</v>
      </c>
      <c r="F25" s="5" t="s">
        <v>24</v>
      </c>
      <c r="G25" s="5" t="s">
        <v>25</v>
      </c>
      <c r="H25" s="5" t="s">
        <v>51</v>
      </c>
      <c r="I25" s="5" t="s">
        <v>134</v>
      </c>
      <c r="J25" s="5" t="s">
        <v>135</v>
      </c>
      <c r="K25" s="5" t="s">
        <v>63</v>
      </c>
      <c r="L25" s="5" t="s">
        <v>44</v>
      </c>
      <c r="M25" s="5">
        <v>67582</v>
      </c>
      <c r="N25" s="5" t="s">
        <v>64</v>
      </c>
      <c r="O25" s="5">
        <v>1375</v>
      </c>
      <c r="P25" s="5" t="s">
        <v>32</v>
      </c>
      <c r="Q25" s="5">
        <v>20</v>
      </c>
      <c r="R25" s="5">
        <v>3</v>
      </c>
      <c r="S25" s="5" t="s">
        <v>47</v>
      </c>
      <c r="T25" s="5" t="s">
        <v>56</v>
      </c>
      <c r="U25" s="5" t="s">
        <v>46</v>
      </c>
    </row>
    <row r="26" spans="1:21">
      <c r="A26" s="5">
        <v>3104</v>
      </c>
      <c r="B26" s="5" t="s">
        <v>136</v>
      </c>
      <c r="C26" s="5" t="s">
        <v>22</v>
      </c>
      <c r="D26" s="5">
        <v>23</v>
      </c>
      <c r="E26" s="5" t="s">
        <v>23</v>
      </c>
      <c r="F26" s="5" t="s">
        <v>80</v>
      </c>
      <c r="G26" s="5" t="s">
        <v>40</v>
      </c>
      <c r="H26" s="5" t="s">
        <v>41</v>
      </c>
      <c r="I26" s="5" t="s">
        <v>137</v>
      </c>
      <c r="J26" s="5" t="s">
        <v>138</v>
      </c>
      <c r="K26" s="5" t="s">
        <v>111</v>
      </c>
      <c r="L26" s="5" t="s">
        <v>44</v>
      </c>
      <c r="M26" s="5">
        <v>37351</v>
      </c>
      <c r="N26" s="5" t="s">
        <v>55</v>
      </c>
      <c r="O26" s="5">
        <v>7858</v>
      </c>
      <c r="P26" s="5" t="s">
        <v>65</v>
      </c>
      <c r="Q26" s="5">
        <v>18</v>
      </c>
      <c r="R26" s="5">
        <v>2</v>
      </c>
      <c r="S26" s="5" t="s">
        <v>33</v>
      </c>
      <c r="T26" s="5" t="s">
        <v>56</v>
      </c>
      <c r="U26" s="5" t="s">
        <v>57</v>
      </c>
    </row>
    <row r="27" spans="1:21">
      <c r="A27" s="5">
        <v>8967</v>
      </c>
      <c r="B27" s="5" t="s">
        <v>139</v>
      </c>
      <c r="C27" s="5" t="s">
        <v>22</v>
      </c>
      <c r="D27" s="5">
        <v>48</v>
      </c>
      <c r="E27" s="5" t="s">
        <v>98</v>
      </c>
      <c r="F27" s="5" t="s">
        <v>102</v>
      </c>
      <c r="G27" s="5" t="s">
        <v>50</v>
      </c>
      <c r="H27" s="5" t="s">
        <v>26</v>
      </c>
      <c r="I27" s="5" t="s">
        <v>140</v>
      </c>
      <c r="J27" s="5" t="s">
        <v>141</v>
      </c>
      <c r="K27" s="5" t="s">
        <v>29</v>
      </c>
      <c r="L27" s="5" t="s">
        <v>44</v>
      </c>
      <c r="M27" s="5">
        <v>36721</v>
      </c>
      <c r="N27" s="5" t="s">
        <v>45</v>
      </c>
      <c r="O27" s="5">
        <v>8820</v>
      </c>
      <c r="P27" s="5" t="s">
        <v>65</v>
      </c>
      <c r="Q27" s="5">
        <v>0</v>
      </c>
      <c r="R27" s="5">
        <v>2</v>
      </c>
      <c r="S27" s="5" t="s">
        <v>47</v>
      </c>
      <c r="T27" s="5" t="s">
        <v>56</v>
      </c>
      <c r="U27" s="5" t="s">
        <v>35</v>
      </c>
    </row>
    <row r="28" spans="1:21">
      <c r="A28" s="5">
        <v>5087</v>
      </c>
      <c r="B28" s="5" t="s">
        <v>142</v>
      </c>
      <c r="C28" s="5" t="s">
        <v>37</v>
      </c>
      <c r="D28" s="5">
        <v>28</v>
      </c>
      <c r="E28" s="5" t="s">
        <v>38</v>
      </c>
      <c r="F28" s="5" t="s">
        <v>49</v>
      </c>
      <c r="G28" s="5" t="s">
        <v>121</v>
      </c>
      <c r="H28" s="5" t="s">
        <v>26</v>
      </c>
      <c r="I28" s="5" t="s">
        <v>143</v>
      </c>
      <c r="J28" s="5" t="s">
        <v>144</v>
      </c>
      <c r="K28" s="5" t="s">
        <v>63</v>
      </c>
      <c r="L28" s="5" t="s">
        <v>54</v>
      </c>
      <c r="M28" s="5">
        <v>46326</v>
      </c>
      <c r="N28" s="5" t="s">
        <v>45</v>
      </c>
      <c r="O28" s="5">
        <v>9189</v>
      </c>
      <c r="P28" s="5" t="s">
        <v>65</v>
      </c>
      <c r="Q28" s="5">
        <v>8</v>
      </c>
      <c r="R28" s="5">
        <v>4</v>
      </c>
      <c r="S28" s="5" t="s">
        <v>33</v>
      </c>
      <c r="T28" s="5" t="s">
        <v>75</v>
      </c>
      <c r="U28" s="5" t="s">
        <v>57</v>
      </c>
    </row>
    <row r="29" spans="1:21">
      <c r="A29" s="5">
        <v>3358</v>
      </c>
      <c r="B29" s="5" t="s">
        <v>145</v>
      </c>
      <c r="C29" s="5" t="s">
        <v>37</v>
      </c>
      <c r="D29" s="5">
        <v>30</v>
      </c>
      <c r="E29" s="5" t="s">
        <v>38</v>
      </c>
      <c r="F29" s="5" t="s">
        <v>39</v>
      </c>
      <c r="G29" s="5" t="s">
        <v>72</v>
      </c>
      <c r="H29" s="5" t="s">
        <v>41</v>
      </c>
      <c r="I29" s="5" t="s">
        <v>146</v>
      </c>
      <c r="J29" s="5" t="s">
        <v>147</v>
      </c>
      <c r="K29" s="5" t="s">
        <v>29</v>
      </c>
      <c r="L29" s="5" t="s">
        <v>30</v>
      </c>
      <c r="M29" s="5">
        <v>59007</v>
      </c>
      <c r="N29" s="5" t="s">
        <v>31</v>
      </c>
      <c r="O29" s="5">
        <v>3380</v>
      </c>
      <c r="P29" s="5" t="s">
        <v>32</v>
      </c>
      <c r="Q29" s="5">
        <v>17</v>
      </c>
      <c r="R29" s="5">
        <v>3</v>
      </c>
      <c r="S29" s="5" t="s">
        <v>46</v>
      </c>
      <c r="T29" s="5" t="s">
        <v>96</v>
      </c>
      <c r="U29" s="5" t="s">
        <v>35</v>
      </c>
    </row>
    <row r="30" spans="1:21">
      <c r="A30" s="5">
        <v>8256</v>
      </c>
      <c r="B30" s="5" t="s">
        <v>148</v>
      </c>
      <c r="C30" s="5" t="s">
        <v>37</v>
      </c>
      <c r="D30" s="5">
        <v>46</v>
      </c>
      <c r="E30" s="5" t="s">
        <v>98</v>
      </c>
      <c r="F30" s="5" t="s">
        <v>80</v>
      </c>
      <c r="G30" s="5" t="s">
        <v>25</v>
      </c>
      <c r="H30" s="5" t="s">
        <v>60</v>
      </c>
      <c r="I30" s="5" t="s">
        <v>149</v>
      </c>
      <c r="J30" s="5" t="s">
        <v>150</v>
      </c>
      <c r="K30" s="5" t="s">
        <v>29</v>
      </c>
      <c r="L30" s="5" t="s">
        <v>44</v>
      </c>
      <c r="M30" s="5">
        <v>52020</v>
      </c>
      <c r="N30" s="5" t="s">
        <v>45</v>
      </c>
      <c r="O30" s="5">
        <v>9585</v>
      </c>
      <c r="P30" s="5" t="s">
        <v>65</v>
      </c>
      <c r="Q30" s="5">
        <v>0</v>
      </c>
      <c r="R30" s="5">
        <v>4</v>
      </c>
      <c r="S30" s="5" t="s">
        <v>47</v>
      </c>
      <c r="T30" s="5" t="s">
        <v>96</v>
      </c>
      <c r="U30" s="5" t="s">
        <v>46</v>
      </c>
    </row>
    <row r="31" spans="1:21">
      <c r="A31" s="5">
        <v>5763</v>
      </c>
      <c r="B31" s="5" t="s">
        <v>151</v>
      </c>
      <c r="C31" s="5" t="s">
        <v>37</v>
      </c>
      <c r="D31" s="5">
        <v>44</v>
      </c>
      <c r="E31" s="5" t="s">
        <v>59</v>
      </c>
      <c r="F31" s="5" t="s">
        <v>39</v>
      </c>
      <c r="G31" s="5" t="s">
        <v>50</v>
      </c>
      <c r="H31" s="5" t="s">
        <v>41</v>
      </c>
      <c r="I31" s="5" t="s">
        <v>152</v>
      </c>
      <c r="J31" s="5" t="s">
        <v>153</v>
      </c>
      <c r="K31" s="5" t="s">
        <v>111</v>
      </c>
      <c r="L31" s="5" t="s">
        <v>44</v>
      </c>
      <c r="M31" s="5">
        <v>98961</v>
      </c>
      <c r="N31" s="5" t="s">
        <v>55</v>
      </c>
      <c r="O31" s="5">
        <v>2688</v>
      </c>
      <c r="P31" s="5" t="s">
        <v>32</v>
      </c>
      <c r="Q31" s="5">
        <v>2</v>
      </c>
      <c r="R31" s="5">
        <v>5</v>
      </c>
      <c r="S31" s="5" t="s">
        <v>47</v>
      </c>
      <c r="T31" s="5" t="s">
        <v>96</v>
      </c>
      <c r="U31" s="5" t="s">
        <v>35</v>
      </c>
    </row>
    <row r="32" spans="1:21">
      <c r="A32" s="5">
        <v>6838</v>
      </c>
      <c r="B32" s="5" t="s">
        <v>154</v>
      </c>
      <c r="C32" s="5" t="s">
        <v>37</v>
      </c>
      <c r="D32" s="5">
        <v>45</v>
      </c>
      <c r="E32" s="5" t="s">
        <v>59</v>
      </c>
      <c r="F32" s="5" t="s">
        <v>49</v>
      </c>
      <c r="G32" s="5" t="s">
        <v>72</v>
      </c>
      <c r="H32" s="5" t="s">
        <v>51</v>
      </c>
      <c r="I32" s="5" t="s">
        <v>155</v>
      </c>
      <c r="J32" s="5" t="s">
        <v>156</v>
      </c>
      <c r="K32" s="5" t="s">
        <v>111</v>
      </c>
      <c r="L32" s="5" t="s">
        <v>44</v>
      </c>
      <c r="M32" s="5">
        <v>81943</v>
      </c>
      <c r="N32" s="5" t="s">
        <v>31</v>
      </c>
      <c r="O32" s="5">
        <v>2255</v>
      </c>
      <c r="P32" s="5" t="s">
        <v>32</v>
      </c>
      <c r="Q32" s="5">
        <v>18</v>
      </c>
      <c r="R32" s="5">
        <v>2</v>
      </c>
      <c r="S32" s="5" t="s">
        <v>46</v>
      </c>
      <c r="T32" s="5" t="s">
        <v>66</v>
      </c>
      <c r="U32" s="5" t="s">
        <v>35</v>
      </c>
    </row>
    <row r="33" spans="1:21">
      <c r="A33" s="5">
        <v>9544</v>
      </c>
      <c r="B33" s="5" t="s">
        <v>157</v>
      </c>
      <c r="C33" s="5" t="s">
        <v>37</v>
      </c>
      <c r="D33" s="5">
        <v>52</v>
      </c>
      <c r="E33" s="5" t="s">
        <v>98</v>
      </c>
      <c r="F33" s="5" t="s">
        <v>102</v>
      </c>
      <c r="G33" s="5" t="s">
        <v>50</v>
      </c>
      <c r="H33" s="5" t="s">
        <v>41</v>
      </c>
      <c r="I33" s="5" t="s">
        <v>158</v>
      </c>
      <c r="J33" s="5" t="s">
        <v>159</v>
      </c>
      <c r="K33" s="5" t="s">
        <v>111</v>
      </c>
      <c r="L33" s="5" t="s">
        <v>44</v>
      </c>
      <c r="M33" s="5">
        <v>47627</v>
      </c>
      <c r="N33" s="5" t="s">
        <v>31</v>
      </c>
      <c r="O33" s="5">
        <v>1221</v>
      </c>
      <c r="P33" s="5" t="s">
        <v>46</v>
      </c>
      <c r="Q33" s="5">
        <v>4</v>
      </c>
      <c r="R33" s="5">
        <v>3</v>
      </c>
      <c r="S33" s="5" t="s">
        <v>46</v>
      </c>
      <c r="T33" s="5" t="s">
        <v>56</v>
      </c>
      <c r="U33" s="5" t="s">
        <v>46</v>
      </c>
    </row>
    <row r="34" spans="1:21">
      <c r="A34" s="5">
        <v>8012</v>
      </c>
      <c r="B34" s="5" t="s">
        <v>160</v>
      </c>
      <c r="C34" s="5" t="s">
        <v>22</v>
      </c>
      <c r="D34" s="5">
        <v>52</v>
      </c>
      <c r="E34" s="5" t="s">
        <v>98</v>
      </c>
      <c r="F34" s="5" t="s">
        <v>24</v>
      </c>
      <c r="G34" s="5" t="s">
        <v>25</v>
      </c>
      <c r="H34" s="5" t="s">
        <v>81</v>
      </c>
      <c r="I34" s="5" t="s">
        <v>161</v>
      </c>
      <c r="J34" s="5" t="s">
        <v>162</v>
      </c>
      <c r="K34" s="5" t="s">
        <v>111</v>
      </c>
      <c r="L34" s="5" t="s">
        <v>44</v>
      </c>
      <c r="M34" s="5">
        <v>56162</v>
      </c>
      <c r="N34" s="5" t="s">
        <v>55</v>
      </c>
      <c r="O34" s="5">
        <v>6560</v>
      </c>
      <c r="P34" s="5" t="s">
        <v>65</v>
      </c>
      <c r="Q34" s="5">
        <v>9</v>
      </c>
      <c r="R34" s="5">
        <v>4</v>
      </c>
      <c r="S34" s="5" t="s">
        <v>47</v>
      </c>
      <c r="T34" s="5" t="s">
        <v>75</v>
      </c>
      <c r="U34" s="5" t="s">
        <v>46</v>
      </c>
    </row>
    <row r="35" spans="1:21">
      <c r="A35" s="5">
        <v>9374</v>
      </c>
      <c r="B35" s="5" t="s">
        <v>163</v>
      </c>
      <c r="C35" s="5" t="s">
        <v>22</v>
      </c>
      <c r="D35" s="5">
        <v>42</v>
      </c>
      <c r="E35" s="5" t="s">
        <v>59</v>
      </c>
      <c r="F35" s="5" t="s">
        <v>39</v>
      </c>
      <c r="G35" s="5" t="s">
        <v>50</v>
      </c>
      <c r="H35" s="5" t="s">
        <v>51</v>
      </c>
      <c r="I35" s="5" t="s">
        <v>164</v>
      </c>
      <c r="J35" s="5" t="s">
        <v>165</v>
      </c>
      <c r="K35" s="5" t="s">
        <v>63</v>
      </c>
      <c r="L35" s="5" t="s">
        <v>54</v>
      </c>
      <c r="M35" s="5">
        <v>95734</v>
      </c>
      <c r="N35" s="5" t="s">
        <v>31</v>
      </c>
      <c r="O35" s="5">
        <v>4854</v>
      </c>
      <c r="P35" s="5" t="s">
        <v>32</v>
      </c>
      <c r="Q35" s="5">
        <v>13</v>
      </c>
      <c r="R35" s="5">
        <v>2</v>
      </c>
      <c r="S35" s="5" t="s">
        <v>33</v>
      </c>
      <c r="T35" s="5" t="s">
        <v>34</v>
      </c>
      <c r="U35" s="5" t="s">
        <v>35</v>
      </c>
    </row>
    <row r="36" spans="1:21">
      <c r="A36" s="5">
        <v>3487</v>
      </c>
      <c r="B36" s="5" t="s">
        <v>166</v>
      </c>
      <c r="C36" s="5" t="s">
        <v>37</v>
      </c>
      <c r="D36" s="5">
        <v>58</v>
      </c>
      <c r="E36" s="5" t="s">
        <v>68</v>
      </c>
      <c r="F36" s="5" t="s">
        <v>39</v>
      </c>
      <c r="G36" s="5" t="s">
        <v>40</v>
      </c>
      <c r="H36" s="5" t="s">
        <v>60</v>
      </c>
      <c r="I36" s="5" t="s">
        <v>167</v>
      </c>
      <c r="J36" s="5" t="s">
        <v>168</v>
      </c>
      <c r="K36" s="5" t="s">
        <v>63</v>
      </c>
      <c r="L36" s="5" t="s">
        <v>54</v>
      </c>
      <c r="M36" s="5">
        <v>74789</v>
      </c>
      <c r="N36" s="5" t="s">
        <v>31</v>
      </c>
      <c r="O36" s="5">
        <v>8101</v>
      </c>
      <c r="P36" s="5" t="s">
        <v>65</v>
      </c>
      <c r="Q36" s="5">
        <v>14</v>
      </c>
      <c r="R36" s="5">
        <v>5</v>
      </c>
      <c r="S36" s="5" t="s">
        <v>47</v>
      </c>
      <c r="T36" s="5" t="s">
        <v>66</v>
      </c>
      <c r="U36" s="5" t="s">
        <v>46</v>
      </c>
    </row>
    <row r="37" spans="1:21">
      <c r="A37" s="5">
        <v>8445</v>
      </c>
      <c r="B37" s="5" t="s">
        <v>169</v>
      </c>
      <c r="C37" s="5" t="s">
        <v>22</v>
      </c>
      <c r="D37" s="5">
        <v>24</v>
      </c>
      <c r="E37" s="5" t="s">
        <v>23</v>
      </c>
      <c r="F37" s="5" t="s">
        <v>102</v>
      </c>
      <c r="G37" s="5" t="s">
        <v>25</v>
      </c>
      <c r="H37" s="5" t="s">
        <v>60</v>
      </c>
      <c r="I37" s="5" t="s">
        <v>170</v>
      </c>
      <c r="J37" s="5" t="s">
        <v>171</v>
      </c>
      <c r="K37" s="5" t="s">
        <v>29</v>
      </c>
      <c r="L37" s="5" t="s">
        <v>54</v>
      </c>
      <c r="M37" s="5">
        <v>30137</v>
      </c>
      <c r="N37" s="5" t="s">
        <v>45</v>
      </c>
      <c r="O37" s="5">
        <v>4031</v>
      </c>
      <c r="P37" s="5" t="s">
        <v>46</v>
      </c>
      <c r="Q37" s="5">
        <v>5</v>
      </c>
      <c r="R37" s="5">
        <v>3</v>
      </c>
      <c r="S37" s="5" t="s">
        <v>46</v>
      </c>
      <c r="T37" s="5" t="s">
        <v>56</v>
      </c>
      <c r="U37" s="5" t="s">
        <v>35</v>
      </c>
    </row>
    <row r="38" spans="1:21">
      <c r="A38" s="5">
        <v>1550</v>
      </c>
      <c r="B38" s="5" t="s">
        <v>172</v>
      </c>
      <c r="C38" s="5" t="s">
        <v>37</v>
      </c>
      <c r="D38" s="5">
        <v>21</v>
      </c>
      <c r="E38" s="5" t="s">
        <v>23</v>
      </c>
      <c r="F38" s="5" t="s">
        <v>39</v>
      </c>
      <c r="G38" s="5" t="s">
        <v>25</v>
      </c>
      <c r="H38" s="5" t="s">
        <v>26</v>
      </c>
      <c r="I38" s="5" t="s">
        <v>173</v>
      </c>
      <c r="J38" s="5" t="s">
        <v>174</v>
      </c>
      <c r="K38" s="5" t="s">
        <v>29</v>
      </c>
      <c r="L38" s="5" t="s">
        <v>54</v>
      </c>
      <c r="M38" s="5">
        <v>95510</v>
      </c>
      <c r="N38" s="5" t="s">
        <v>31</v>
      </c>
      <c r="O38" s="5">
        <v>6811</v>
      </c>
      <c r="P38" s="5" t="s">
        <v>32</v>
      </c>
      <c r="Q38" s="5">
        <v>18</v>
      </c>
      <c r="R38" s="5">
        <v>4</v>
      </c>
      <c r="S38" s="5" t="s">
        <v>47</v>
      </c>
      <c r="T38" s="5" t="s">
        <v>96</v>
      </c>
      <c r="U38" s="5" t="s">
        <v>35</v>
      </c>
    </row>
    <row r="39" spans="1:21">
      <c r="A39" s="5">
        <v>9968</v>
      </c>
      <c r="B39" s="5" t="s">
        <v>175</v>
      </c>
      <c r="C39" s="5" t="s">
        <v>37</v>
      </c>
      <c r="D39" s="5">
        <v>58</v>
      </c>
      <c r="E39" s="5" t="s">
        <v>68</v>
      </c>
      <c r="F39" s="5" t="s">
        <v>39</v>
      </c>
      <c r="G39" s="5" t="s">
        <v>72</v>
      </c>
      <c r="H39" s="5" t="s">
        <v>26</v>
      </c>
      <c r="I39" s="5" t="s">
        <v>176</v>
      </c>
      <c r="J39" s="5" t="s">
        <v>177</v>
      </c>
      <c r="K39" s="5" t="s">
        <v>63</v>
      </c>
      <c r="L39" s="5" t="s">
        <v>30</v>
      </c>
      <c r="M39" s="5">
        <v>80325</v>
      </c>
      <c r="N39" s="5" t="s">
        <v>45</v>
      </c>
      <c r="O39" s="5">
        <v>6230</v>
      </c>
      <c r="P39" s="5" t="s">
        <v>32</v>
      </c>
      <c r="Q39" s="5">
        <v>5</v>
      </c>
      <c r="R39" s="5">
        <v>4</v>
      </c>
      <c r="S39" s="5" t="s">
        <v>46</v>
      </c>
      <c r="T39" s="5" t="s">
        <v>66</v>
      </c>
      <c r="U39" s="5" t="s">
        <v>57</v>
      </c>
    </row>
    <row r="40" spans="1:21">
      <c r="A40" s="5">
        <v>8029</v>
      </c>
      <c r="B40" s="5" t="s">
        <v>178</v>
      </c>
      <c r="C40" s="5" t="s">
        <v>22</v>
      </c>
      <c r="D40" s="5">
        <v>57</v>
      </c>
      <c r="E40" s="5" t="s">
        <v>68</v>
      </c>
      <c r="F40" s="5" t="s">
        <v>80</v>
      </c>
      <c r="G40" s="5" t="s">
        <v>121</v>
      </c>
      <c r="H40" s="5" t="s">
        <v>81</v>
      </c>
      <c r="I40" s="5" t="s">
        <v>179</v>
      </c>
      <c r="J40" s="5" t="s">
        <v>180</v>
      </c>
      <c r="K40" s="5" t="s">
        <v>111</v>
      </c>
      <c r="L40" s="5" t="s">
        <v>44</v>
      </c>
      <c r="M40" s="5">
        <v>34109</v>
      </c>
      <c r="N40" s="5" t="s">
        <v>45</v>
      </c>
      <c r="O40" s="5">
        <v>9232</v>
      </c>
      <c r="P40" s="5" t="s">
        <v>32</v>
      </c>
      <c r="Q40" s="5">
        <v>13</v>
      </c>
      <c r="R40" s="5">
        <v>3</v>
      </c>
      <c r="S40" s="5" t="s">
        <v>33</v>
      </c>
      <c r="T40" s="5" t="s">
        <v>34</v>
      </c>
      <c r="U40" s="5" t="s">
        <v>35</v>
      </c>
    </row>
    <row r="41" spans="1:21">
      <c r="A41" s="5">
        <v>8847</v>
      </c>
      <c r="B41" s="5" t="s">
        <v>181</v>
      </c>
      <c r="C41" s="5" t="s">
        <v>37</v>
      </c>
      <c r="D41" s="5">
        <v>41</v>
      </c>
      <c r="E41" s="5" t="s">
        <v>59</v>
      </c>
      <c r="F41" s="5" t="s">
        <v>80</v>
      </c>
      <c r="G41" s="5" t="s">
        <v>72</v>
      </c>
      <c r="H41" s="5" t="s">
        <v>26</v>
      </c>
      <c r="I41" s="5" t="s">
        <v>182</v>
      </c>
      <c r="J41" s="5" t="s">
        <v>183</v>
      </c>
      <c r="K41" s="5" t="s">
        <v>111</v>
      </c>
      <c r="L41" s="5" t="s">
        <v>54</v>
      </c>
      <c r="M41" s="5">
        <v>73330</v>
      </c>
      <c r="N41" s="5" t="s">
        <v>31</v>
      </c>
      <c r="O41" s="5">
        <v>2276</v>
      </c>
      <c r="P41" s="5" t="s">
        <v>65</v>
      </c>
      <c r="Q41" s="5">
        <v>5</v>
      </c>
      <c r="R41" s="5">
        <v>1</v>
      </c>
      <c r="S41" s="5" t="s">
        <v>46</v>
      </c>
      <c r="T41" s="5" t="s">
        <v>56</v>
      </c>
      <c r="U41" s="5" t="s">
        <v>57</v>
      </c>
    </row>
    <row r="42" spans="1:21">
      <c r="A42" s="5">
        <v>1955</v>
      </c>
      <c r="B42" s="5" t="s">
        <v>184</v>
      </c>
      <c r="C42" s="5" t="s">
        <v>22</v>
      </c>
      <c r="D42" s="5">
        <v>58</v>
      </c>
      <c r="E42" s="5" t="s">
        <v>68</v>
      </c>
      <c r="F42" s="5" t="s">
        <v>49</v>
      </c>
      <c r="G42" s="5" t="s">
        <v>50</v>
      </c>
      <c r="H42" s="5" t="s">
        <v>41</v>
      </c>
      <c r="I42" s="5" t="s">
        <v>185</v>
      </c>
      <c r="J42" s="5" t="s">
        <v>186</v>
      </c>
      <c r="K42" s="5" t="s">
        <v>63</v>
      </c>
      <c r="L42" s="5" t="s">
        <v>54</v>
      </c>
      <c r="M42" s="5">
        <v>46567</v>
      </c>
      <c r="N42" s="5" t="s">
        <v>64</v>
      </c>
      <c r="O42" s="5">
        <v>2825</v>
      </c>
      <c r="P42" s="5" t="s">
        <v>32</v>
      </c>
      <c r="Q42" s="5">
        <v>15</v>
      </c>
      <c r="R42" s="5">
        <v>3</v>
      </c>
      <c r="S42" s="5" t="s">
        <v>46</v>
      </c>
      <c r="T42" s="5" t="s">
        <v>96</v>
      </c>
      <c r="U42" s="5" t="s">
        <v>57</v>
      </c>
    </row>
    <row r="43" spans="1:21">
      <c r="A43" s="5">
        <v>4522</v>
      </c>
      <c r="B43" s="5" t="s">
        <v>187</v>
      </c>
      <c r="C43" s="5" t="s">
        <v>22</v>
      </c>
      <c r="D43" s="5">
        <v>36</v>
      </c>
      <c r="E43" s="5" t="s">
        <v>59</v>
      </c>
      <c r="F43" s="5" t="s">
        <v>24</v>
      </c>
      <c r="G43" s="5" t="s">
        <v>121</v>
      </c>
      <c r="H43" s="5" t="s">
        <v>26</v>
      </c>
      <c r="I43" s="5" t="s">
        <v>188</v>
      </c>
      <c r="J43" s="5" t="s">
        <v>189</v>
      </c>
      <c r="K43" s="5" t="s">
        <v>63</v>
      </c>
      <c r="L43" s="5" t="s">
        <v>44</v>
      </c>
      <c r="M43" s="5">
        <v>39795</v>
      </c>
      <c r="N43" s="5" t="s">
        <v>64</v>
      </c>
      <c r="O43" s="5">
        <v>1670</v>
      </c>
      <c r="P43" s="5" t="s">
        <v>46</v>
      </c>
      <c r="Q43" s="5">
        <v>0</v>
      </c>
      <c r="R43" s="5">
        <v>2</v>
      </c>
      <c r="S43" s="5" t="s">
        <v>47</v>
      </c>
      <c r="T43" s="5" t="s">
        <v>75</v>
      </c>
      <c r="U43" s="5" t="s">
        <v>46</v>
      </c>
    </row>
    <row r="44" spans="1:21">
      <c r="A44" s="5">
        <v>3078</v>
      </c>
      <c r="B44" s="5" t="s">
        <v>190</v>
      </c>
      <c r="C44" s="5" t="s">
        <v>22</v>
      </c>
      <c r="D44" s="5">
        <v>21</v>
      </c>
      <c r="E44" s="5" t="s">
        <v>23</v>
      </c>
      <c r="F44" s="5" t="s">
        <v>24</v>
      </c>
      <c r="G44" s="5" t="s">
        <v>25</v>
      </c>
      <c r="H44" s="5" t="s">
        <v>81</v>
      </c>
      <c r="I44" s="5" t="s">
        <v>191</v>
      </c>
      <c r="J44" s="5" t="s">
        <v>192</v>
      </c>
      <c r="K44" s="5" t="s">
        <v>63</v>
      </c>
      <c r="L44" s="5" t="s">
        <v>54</v>
      </c>
      <c r="M44" s="5">
        <v>59506</v>
      </c>
      <c r="N44" s="5" t="s">
        <v>64</v>
      </c>
      <c r="O44" s="5">
        <v>4428</v>
      </c>
      <c r="P44" s="5" t="s">
        <v>65</v>
      </c>
      <c r="Q44" s="5">
        <v>0</v>
      </c>
      <c r="R44" s="5">
        <v>1</v>
      </c>
      <c r="S44" s="5" t="s">
        <v>46</v>
      </c>
      <c r="T44" s="5" t="s">
        <v>75</v>
      </c>
      <c r="U44" s="5" t="s">
        <v>35</v>
      </c>
    </row>
    <row r="45" spans="1:21">
      <c r="A45" s="5">
        <v>6357</v>
      </c>
      <c r="B45" s="5" t="s">
        <v>193</v>
      </c>
      <c r="C45" s="5" t="s">
        <v>22</v>
      </c>
      <c r="D45" s="5">
        <v>46</v>
      </c>
      <c r="E45" s="5" t="s">
        <v>98</v>
      </c>
      <c r="F45" s="5" t="s">
        <v>49</v>
      </c>
      <c r="G45" s="5" t="s">
        <v>40</v>
      </c>
      <c r="H45" s="5" t="s">
        <v>81</v>
      </c>
      <c r="I45" s="5" t="s">
        <v>194</v>
      </c>
      <c r="J45" s="5" t="s">
        <v>195</v>
      </c>
      <c r="K45" s="5" t="s">
        <v>63</v>
      </c>
      <c r="L45" s="5" t="s">
        <v>54</v>
      </c>
      <c r="M45" s="5">
        <v>49058</v>
      </c>
      <c r="N45" s="5" t="s">
        <v>45</v>
      </c>
      <c r="O45" s="5">
        <v>4396</v>
      </c>
      <c r="P45" s="5" t="s">
        <v>46</v>
      </c>
      <c r="Q45" s="5">
        <v>5</v>
      </c>
      <c r="R45" s="5">
        <v>1</v>
      </c>
      <c r="S45" s="5" t="s">
        <v>46</v>
      </c>
      <c r="T45" s="5" t="s">
        <v>75</v>
      </c>
      <c r="U45" s="5" t="s">
        <v>46</v>
      </c>
    </row>
    <row r="46" spans="1:21">
      <c r="A46" s="5">
        <v>7951</v>
      </c>
      <c r="B46" s="5" t="s">
        <v>196</v>
      </c>
      <c r="C46" s="5" t="s">
        <v>22</v>
      </c>
      <c r="D46" s="5">
        <v>36</v>
      </c>
      <c r="E46" s="5" t="s">
        <v>59</v>
      </c>
      <c r="F46" s="5" t="s">
        <v>80</v>
      </c>
      <c r="G46" s="5" t="s">
        <v>50</v>
      </c>
      <c r="H46" s="5" t="s">
        <v>81</v>
      </c>
      <c r="I46" s="5" t="s">
        <v>197</v>
      </c>
      <c r="J46" s="5" t="s">
        <v>198</v>
      </c>
      <c r="K46" s="5" t="s">
        <v>63</v>
      </c>
      <c r="L46" s="5" t="s">
        <v>30</v>
      </c>
      <c r="M46" s="5">
        <v>98612</v>
      </c>
      <c r="N46" s="5" t="s">
        <v>64</v>
      </c>
      <c r="O46" s="5">
        <v>1168</v>
      </c>
      <c r="P46" s="5" t="s">
        <v>46</v>
      </c>
      <c r="Q46" s="5">
        <v>9</v>
      </c>
      <c r="R46" s="5">
        <v>2</v>
      </c>
      <c r="S46" s="5" t="s">
        <v>47</v>
      </c>
      <c r="T46" s="5" t="s">
        <v>34</v>
      </c>
      <c r="U46" s="5" t="s">
        <v>35</v>
      </c>
    </row>
    <row r="47" spans="1:21">
      <c r="A47" s="5">
        <v>9228</v>
      </c>
      <c r="B47" s="5" t="s">
        <v>199</v>
      </c>
      <c r="C47" s="5" t="s">
        <v>37</v>
      </c>
      <c r="D47" s="5">
        <v>41</v>
      </c>
      <c r="E47" s="5" t="s">
        <v>59</v>
      </c>
      <c r="F47" s="5" t="s">
        <v>102</v>
      </c>
      <c r="G47" s="5" t="s">
        <v>72</v>
      </c>
      <c r="H47" s="5" t="s">
        <v>41</v>
      </c>
      <c r="I47" s="5" t="s">
        <v>200</v>
      </c>
      <c r="J47" s="5" t="s">
        <v>201</v>
      </c>
      <c r="K47" s="5" t="s">
        <v>111</v>
      </c>
      <c r="L47" s="5" t="s">
        <v>44</v>
      </c>
      <c r="M47" s="5">
        <v>38201</v>
      </c>
      <c r="N47" s="5" t="s">
        <v>64</v>
      </c>
      <c r="O47" s="5">
        <v>7111</v>
      </c>
      <c r="P47" s="5" t="s">
        <v>32</v>
      </c>
      <c r="Q47" s="5">
        <v>8</v>
      </c>
      <c r="R47" s="5">
        <v>4</v>
      </c>
      <c r="S47" s="5" t="s">
        <v>33</v>
      </c>
      <c r="T47" s="5" t="s">
        <v>75</v>
      </c>
      <c r="U47" s="5" t="s">
        <v>46</v>
      </c>
    </row>
    <row r="48" spans="1:21">
      <c r="A48" s="5">
        <v>8988</v>
      </c>
      <c r="B48" s="5" t="s">
        <v>202</v>
      </c>
      <c r="C48" s="5" t="s">
        <v>37</v>
      </c>
      <c r="D48" s="5">
        <v>25</v>
      </c>
      <c r="E48" s="5" t="s">
        <v>23</v>
      </c>
      <c r="F48" s="5" t="s">
        <v>24</v>
      </c>
      <c r="G48" s="5" t="s">
        <v>50</v>
      </c>
      <c r="H48" s="5" t="s">
        <v>51</v>
      </c>
      <c r="I48" s="5" t="s">
        <v>203</v>
      </c>
      <c r="J48" s="5" t="s">
        <v>204</v>
      </c>
      <c r="K48" s="5" t="s">
        <v>111</v>
      </c>
      <c r="L48" s="5" t="s">
        <v>44</v>
      </c>
      <c r="M48" s="5">
        <v>92919</v>
      </c>
      <c r="N48" s="5" t="s">
        <v>55</v>
      </c>
      <c r="O48" s="5">
        <v>9497</v>
      </c>
      <c r="P48" s="5" t="s">
        <v>32</v>
      </c>
      <c r="Q48" s="5">
        <v>7</v>
      </c>
      <c r="R48" s="5">
        <v>2</v>
      </c>
      <c r="S48" s="5" t="s">
        <v>46</v>
      </c>
      <c r="T48" s="5" t="s">
        <v>75</v>
      </c>
      <c r="U48" s="5" t="s">
        <v>57</v>
      </c>
    </row>
    <row r="49" spans="1:21">
      <c r="A49" s="5">
        <v>1952</v>
      </c>
      <c r="B49" s="5" t="s">
        <v>205</v>
      </c>
      <c r="C49" s="5" t="s">
        <v>22</v>
      </c>
      <c r="D49" s="5">
        <v>29</v>
      </c>
      <c r="E49" s="5" t="s">
        <v>38</v>
      </c>
      <c r="F49" s="5" t="s">
        <v>102</v>
      </c>
      <c r="G49" s="5" t="s">
        <v>25</v>
      </c>
      <c r="H49" s="5" t="s">
        <v>41</v>
      </c>
      <c r="I49" s="5" t="s">
        <v>206</v>
      </c>
      <c r="J49" s="5" t="s">
        <v>207</v>
      </c>
      <c r="K49" s="5" t="s">
        <v>29</v>
      </c>
      <c r="L49" s="5" t="s">
        <v>54</v>
      </c>
      <c r="M49" s="5">
        <v>45188</v>
      </c>
      <c r="N49" s="5" t="s">
        <v>64</v>
      </c>
      <c r="O49" s="5">
        <v>9591</v>
      </c>
      <c r="P49" s="5" t="s">
        <v>65</v>
      </c>
      <c r="Q49" s="5">
        <v>18</v>
      </c>
      <c r="R49" s="5">
        <v>3</v>
      </c>
      <c r="S49" s="5" t="s">
        <v>33</v>
      </c>
      <c r="T49" s="5" t="s">
        <v>75</v>
      </c>
      <c r="U49" s="5" t="s">
        <v>46</v>
      </c>
    </row>
    <row r="50" spans="1:21">
      <c r="A50" s="5">
        <v>5760</v>
      </c>
      <c r="B50" s="5" t="s">
        <v>208</v>
      </c>
      <c r="C50" s="5" t="s">
        <v>22</v>
      </c>
      <c r="D50" s="5">
        <v>59</v>
      </c>
      <c r="E50" s="5" t="s">
        <v>68</v>
      </c>
      <c r="F50" s="5" t="s">
        <v>49</v>
      </c>
      <c r="G50" s="5" t="s">
        <v>40</v>
      </c>
      <c r="H50" s="5" t="s">
        <v>26</v>
      </c>
      <c r="I50" s="5" t="s">
        <v>209</v>
      </c>
      <c r="J50" s="5" t="s">
        <v>210</v>
      </c>
      <c r="K50" s="5" t="s">
        <v>29</v>
      </c>
      <c r="L50" s="5" t="s">
        <v>44</v>
      </c>
      <c r="M50" s="5">
        <v>34927</v>
      </c>
      <c r="N50" s="5" t="s">
        <v>55</v>
      </c>
      <c r="O50" s="5">
        <v>6996</v>
      </c>
      <c r="P50" s="5" t="s">
        <v>65</v>
      </c>
      <c r="Q50" s="5">
        <v>16</v>
      </c>
      <c r="R50" s="5">
        <v>1</v>
      </c>
      <c r="S50" s="5" t="s">
        <v>47</v>
      </c>
      <c r="T50" s="5" t="s">
        <v>34</v>
      </c>
      <c r="U50" s="5" t="s">
        <v>35</v>
      </c>
    </row>
    <row r="51" spans="1:21">
      <c r="A51" s="5">
        <v>5742</v>
      </c>
      <c r="B51" s="5" t="s">
        <v>211</v>
      </c>
      <c r="C51" s="5" t="s">
        <v>22</v>
      </c>
      <c r="D51" s="5">
        <v>27</v>
      </c>
      <c r="E51" s="5" t="s">
        <v>38</v>
      </c>
      <c r="F51" s="5" t="s">
        <v>24</v>
      </c>
      <c r="G51" s="5" t="s">
        <v>50</v>
      </c>
      <c r="H51" s="5" t="s">
        <v>60</v>
      </c>
      <c r="I51" s="5" t="s">
        <v>212</v>
      </c>
      <c r="J51" s="5" t="s">
        <v>213</v>
      </c>
      <c r="K51" s="5" t="s">
        <v>29</v>
      </c>
      <c r="L51" s="5" t="s">
        <v>44</v>
      </c>
      <c r="M51" s="5">
        <v>33183</v>
      </c>
      <c r="N51" s="5" t="s">
        <v>64</v>
      </c>
      <c r="O51" s="5">
        <v>1659</v>
      </c>
      <c r="P51" s="5" t="s">
        <v>46</v>
      </c>
      <c r="Q51" s="5">
        <v>11</v>
      </c>
      <c r="R51" s="5">
        <v>1</v>
      </c>
      <c r="S51" s="5" t="s">
        <v>33</v>
      </c>
      <c r="T51" s="5" t="s">
        <v>66</v>
      </c>
      <c r="U51" s="5"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1C33D-E764-4CB7-B2EC-C1CCAA6DB940}">
  <dimension ref="B2:Y23"/>
  <sheetViews>
    <sheetView zoomScale="84" zoomScaleNormal="40" workbookViewId="0">
      <selection activeCell="C34" sqref="C34"/>
    </sheetView>
  </sheetViews>
  <sheetFormatPr defaultColWidth="16.5546875" defaultRowHeight="13.8"/>
  <cols>
    <col min="1" max="1" width="3.21875" style="1" customWidth="1"/>
    <col min="2" max="2" width="14.5546875" style="1" bestFit="1" customWidth="1"/>
    <col min="3" max="3" width="19.77734375" style="1" bestFit="1" customWidth="1"/>
    <col min="4" max="4" width="7.88671875" style="1" customWidth="1"/>
    <col min="5" max="5" width="14.5546875" style="1" bestFit="1" customWidth="1"/>
    <col min="6" max="6" width="14.6640625" style="1" bestFit="1" customWidth="1"/>
    <col min="7" max="7" width="21.109375" style="1" bestFit="1" customWidth="1"/>
    <col min="8" max="8" width="7.44140625" style="1" customWidth="1"/>
    <col min="9" max="9" width="17.33203125" style="1" bestFit="1" customWidth="1"/>
    <col min="10" max="10" width="15.5546875" style="1" bestFit="1" customWidth="1"/>
    <col min="11" max="11" width="5.21875" style="1" bestFit="1" customWidth="1"/>
    <col min="12" max="12" width="10.77734375" style="1" bestFit="1" customWidth="1"/>
    <col min="13" max="13" width="7.6640625" style="1" customWidth="1"/>
    <col min="14" max="14" width="12.6640625" style="1" bestFit="1" customWidth="1"/>
    <col min="15" max="15" width="17.33203125" style="1" bestFit="1" customWidth="1"/>
    <col min="16" max="16" width="6" style="1" customWidth="1"/>
    <col min="17" max="17" width="14.77734375" style="1" bestFit="1" customWidth="1"/>
    <col min="18" max="18" width="19.77734375" style="1" bestFit="1" customWidth="1"/>
    <col min="19" max="19" width="7.33203125" style="1" customWidth="1"/>
    <col min="20" max="20" width="14.5546875" style="1" bestFit="1" customWidth="1"/>
    <col min="21" max="21" width="19.77734375" style="1" bestFit="1" customWidth="1"/>
    <col min="22" max="22" width="7.33203125" style="1" customWidth="1"/>
    <col min="23" max="23" width="14.5546875" style="1" bestFit="1" customWidth="1"/>
    <col min="24" max="24" width="32.109375" style="1" bestFit="1" customWidth="1"/>
    <col min="25" max="25" width="25.21875" style="1" bestFit="1" customWidth="1"/>
    <col min="26" max="16384" width="16.5546875" style="1"/>
  </cols>
  <sheetData>
    <row r="2" spans="2:25" ht="14.4">
      <c r="B2" s="22" t="s">
        <v>217</v>
      </c>
      <c r="C2" s="22"/>
      <c r="E2" s="21" t="s">
        <v>220</v>
      </c>
      <c r="F2" s="21"/>
      <c r="G2" s="21"/>
      <c r="I2" s="19" t="s">
        <v>222</v>
      </c>
      <c r="J2" s="19"/>
      <c r="K2" s="19"/>
      <c r="L2" s="19"/>
      <c r="N2" s="19" t="s">
        <v>224</v>
      </c>
      <c r="O2" s="19"/>
      <c r="Q2" s="19" t="s">
        <v>225</v>
      </c>
      <c r="R2" s="19"/>
      <c r="T2" s="19" t="s">
        <v>229</v>
      </c>
      <c r="U2" s="20"/>
      <c r="V2"/>
      <c r="W2" s="19" t="s">
        <v>230</v>
      </c>
      <c r="X2" s="20"/>
    </row>
    <row r="3" spans="2:25" ht="14.4">
      <c r="B3" s="6" t="s">
        <v>214</v>
      </c>
      <c r="C3" s="1" t="s">
        <v>216</v>
      </c>
      <c r="E3" s="6" t="s">
        <v>214</v>
      </c>
      <c r="F3" s="1" t="s">
        <v>219</v>
      </c>
      <c r="G3" s="1" t="s">
        <v>226</v>
      </c>
      <c r="I3" s="10" t="s">
        <v>216</v>
      </c>
      <c r="J3" s="10" t="s">
        <v>221</v>
      </c>
      <c r="K3"/>
      <c r="L3"/>
      <c r="N3" s="10" t="s">
        <v>214</v>
      </c>
      <c r="O3" t="s">
        <v>216</v>
      </c>
      <c r="Q3" s="6" t="s">
        <v>214</v>
      </c>
      <c r="R3" s="1" t="s">
        <v>216</v>
      </c>
      <c r="S3"/>
      <c r="T3" s="6" t="s">
        <v>214</v>
      </c>
      <c r="U3" s="1" t="s">
        <v>216</v>
      </c>
      <c r="V3"/>
      <c r="W3" s="6" t="s">
        <v>214</v>
      </c>
      <c r="X3" s="1" t="s">
        <v>227</v>
      </c>
      <c r="Y3"/>
    </row>
    <row r="4" spans="2:25" ht="14.4">
      <c r="B4" s="7" t="s">
        <v>63</v>
      </c>
      <c r="C4" s="1">
        <v>17</v>
      </c>
      <c r="E4" s="7" t="s">
        <v>121</v>
      </c>
      <c r="F4" s="8">
        <v>167041</v>
      </c>
      <c r="G4" s="8">
        <v>28</v>
      </c>
      <c r="H4" s="8"/>
      <c r="I4" s="10" t="s">
        <v>214</v>
      </c>
      <c r="J4" t="s">
        <v>22</v>
      </c>
      <c r="K4" t="s">
        <v>37</v>
      </c>
      <c r="L4" t="s">
        <v>215</v>
      </c>
      <c r="N4" s="11" t="s">
        <v>44</v>
      </c>
      <c r="O4">
        <v>23</v>
      </c>
      <c r="Q4" s="7" t="s">
        <v>75</v>
      </c>
      <c r="R4" s="1">
        <v>12</v>
      </c>
      <c r="S4"/>
      <c r="T4" s="7" t="s">
        <v>39</v>
      </c>
      <c r="U4" s="1">
        <v>14</v>
      </c>
      <c r="V4"/>
      <c r="W4" s="7" t="s">
        <v>26</v>
      </c>
      <c r="X4" s="15">
        <v>2.5833333333333335</v>
      </c>
      <c r="Y4"/>
    </row>
    <row r="5" spans="2:25" ht="14.4">
      <c r="B5" s="7" t="s">
        <v>29</v>
      </c>
      <c r="C5" s="1">
        <v>20</v>
      </c>
      <c r="E5" s="7" t="s">
        <v>40</v>
      </c>
      <c r="F5" s="8">
        <v>613842</v>
      </c>
      <c r="G5" s="8">
        <v>110</v>
      </c>
      <c r="H5" s="8"/>
      <c r="I5" s="11" t="s">
        <v>23</v>
      </c>
      <c r="J5">
        <v>6</v>
      </c>
      <c r="K5">
        <v>3</v>
      </c>
      <c r="L5">
        <v>9</v>
      </c>
      <c r="N5" s="11" t="s">
        <v>30</v>
      </c>
      <c r="O5">
        <v>8</v>
      </c>
      <c r="Q5" s="7" t="s">
        <v>34</v>
      </c>
      <c r="R5" s="1">
        <v>11</v>
      </c>
      <c r="S5"/>
      <c r="T5" s="7" t="s">
        <v>24</v>
      </c>
      <c r="U5" s="1">
        <v>10</v>
      </c>
      <c r="V5"/>
      <c r="W5" s="7" t="s">
        <v>41</v>
      </c>
      <c r="X5" s="15">
        <v>3.3</v>
      </c>
      <c r="Y5"/>
    </row>
    <row r="6" spans="2:25" ht="14.4">
      <c r="B6" s="7" t="s">
        <v>111</v>
      </c>
      <c r="C6" s="1">
        <v>13</v>
      </c>
      <c r="E6" s="7" t="s">
        <v>72</v>
      </c>
      <c r="F6" s="8">
        <v>633594</v>
      </c>
      <c r="G6" s="8">
        <v>104</v>
      </c>
      <c r="H6" s="8"/>
      <c r="I6" s="11" t="s">
        <v>38</v>
      </c>
      <c r="J6">
        <v>7</v>
      </c>
      <c r="K6">
        <v>6</v>
      </c>
      <c r="L6">
        <v>13</v>
      </c>
      <c r="N6" s="11" t="s">
        <v>54</v>
      </c>
      <c r="O6">
        <v>19</v>
      </c>
      <c r="Q6" s="7" t="s">
        <v>96</v>
      </c>
      <c r="R6" s="1">
        <v>7</v>
      </c>
      <c r="S6"/>
      <c r="T6" s="7" t="s">
        <v>102</v>
      </c>
      <c r="U6" s="1">
        <v>7</v>
      </c>
      <c r="V6"/>
      <c r="W6" s="7" t="s">
        <v>81</v>
      </c>
      <c r="X6" s="15">
        <v>2.25</v>
      </c>
      <c r="Y6"/>
    </row>
    <row r="7" spans="2:25" ht="14.4">
      <c r="B7" s="7" t="s">
        <v>215</v>
      </c>
      <c r="C7" s="1">
        <v>50</v>
      </c>
      <c r="E7" s="7" t="s">
        <v>50</v>
      </c>
      <c r="F7" s="8">
        <v>959266</v>
      </c>
      <c r="G7" s="8">
        <v>123</v>
      </c>
      <c r="H7" s="8"/>
      <c r="I7" s="11" t="s">
        <v>59</v>
      </c>
      <c r="J7">
        <v>5</v>
      </c>
      <c r="K7">
        <v>7</v>
      </c>
      <c r="L7">
        <v>12</v>
      </c>
      <c r="N7" s="11" t="s">
        <v>215</v>
      </c>
      <c r="O7">
        <v>50</v>
      </c>
      <c r="Q7" s="7" t="s">
        <v>56</v>
      </c>
      <c r="R7" s="1">
        <v>11</v>
      </c>
      <c r="S7"/>
      <c r="T7" s="7" t="s">
        <v>80</v>
      </c>
      <c r="U7" s="1">
        <v>10</v>
      </c>
      <c r="V7"/>
      <c r="W7" s="7" t="s">
        <v>51</v>
      </c>
      <c r="X7" s="15">
        <v>2.3636363636363638</v>
      </c>
      <c r="Y7"/>
    </row>
    <row r="8" spans="2:25" ht="14.4">
      <c r="E8" s="7" t="s">
        <v>25</v>
      </c>
      <c r="F8" s="8">
        <v>731170</v>
      </c>
      <c r="G8" s="8">
        <v>122</v>
      </c>
      <c r="H8" s="8"/>
      <c r="I8" s="11" t="s">
        <v>98</v>
      </c>
      <c r="J8">
        <v>4</v>
      </c>
      <c r="K8">
        <v>3</v>
      </c>
      <c r="L8">
        <v>7</v>
      </c>
      <c r="N8"/>
      <c r="O8"/>
      <c r="Q8" s="7" t="s">
        <v>66</v>
      </c>
      <c r="R8" s="1">
        <v>9</v>
      </c>
      <c r="S8"/>
      <c r="T8" s="7" t="s">
        <v>49</v>
      </c>
      <c r="U8" s="1">
        <v>9</v>
      </c>
      <c r="V8"/>
      <c r="W8" s="7" t="s">
        <v>60</v>
      </c>
      <c r="X8" s="15">
        <v>2.5555555555555554</v>
      </c>
      <c r="Y8"/>
    </row>
    <row r="9" spans="2:25" ht="14.4">
      <c r="E9" s="7" t="s">
        <v>215</v>
      </c>
      <c r="F9" s="8">
        <v>3104913</v>
      </c>
      <c r="G9" s="8">
        <v>487</v>
      </c>
      <c r="H9" s="8"/>
      <c r="I9" s="11" t="s">
        <v>68</v>
      </c>
      <c r="J9">
        <v>4</v>
      </c>
      <c r="K9">
        <v>5</v>
      </c>
      <c r="L9">
        <v>9</v>
      </c>
      <c r="N9" s="11" t="s">
        <v>44</v>
      </c>
      <c r="O9">
        <f>IFERROR(GETPIVOTDATA("Full Name",$N$3,"Work Location","Branch Office"),"0")</f>
        <v>23</v>
      </c>
      <c r="Q9" s="7" t="s">
        <v>215</v>
      </c>
      <c r="R9" s="1">
        <v>50</v>
      </c>
      <c r="S9"/>
      <c r="T9" s="7" t="s">
        <v>215</v>
      </c>
      <c r="U9" s="1">
        <v>50</v>
      </c>
      <c r="V9"/>
      <c r="W9" s="7" t="s">
        <v>215</v>
      </c>
      <c r="X9" s="1">
        <v>2.62</v>
      </c>
      <c r="Y9"/>
    </row>
    <row r="10" spans="2:25" ht="14.4">
      <c r="B10" s="7" t="s">
        <v>63</v>
      </c>
      <c r="C10" s="1">
        <f>IFERROR(GETPIVOTDATA("Full Name",$B$3,"Employment Status","Contract"),"0")</f>
        <v>17</v>
      </c>
      <c r="G10"/>
      <c r="H10"/>
      <c r="I10" s="11" t="s">
        <v>215</v>
      </c>
      <c r="J10">
        <v>26</v>
      </c>
      <c r="K10">
        <v>24</v>
      </c>
      <c r="L10">
        <v>50</v>
      </c>
      <c r="N10" s="11" t="s">
        <v>30</v>
      </c>
      <c r="O10">
        <f>IFERROR(GETPIVOTDATA("Full Name",$N$3,"Work Location","Head Office"),"0")</f>
        <v>8</v>
      </c>
      <c r="S10"/>
      <c r="V10"/>
      <c r="Y10"/>
    </row>
    <row r="11" spans="2:25" ht="14.4">
      <c r="B11" s="7" t="s">
        <v>29</v>
      </c>
      <c r="C11" s="1">
        <f>IFERROR(GETPIVOTDATA("Full Name",$B$3,"Employment Status","Full-Time"),"0")</f>
        <v>20</v>
      </c>
      <c r="E11" s="7" t="s">
        <v>121</v>
      </c>
      <c r="F11" s="9">
        <f>IFERROR(GETPIVOTDATA("Salary",$E$3,"Job Title","Analyst"),"0")</f>
        <v>167041</v>
      </c>
      <c r="G11" s="9">
        <f>IFERROR(GETPIVOTDATA("Sum of Leave Taken",$E$3,"Job Title","Analyst"),"0")</f>
        <v>28</v>
      </c>
      <c r="H11" s="9"/>
      <c r="I11"/>
      <c r="J11"/>
      <c r="K11"/>
      <c r="N11" s="11" t="s">
        <v>54</v>
      </c>
      <c r="O11">
        <f>IFERROR(GETPIVOTDATA("Full Name",$N$3,"Work Location","Remote"),"0")</f>
        <v>19</v>
      </c>
      <c r="Q11" s="7" t="s">
        <v>75</v>
      </c>
      <c r="R11" s="1">
        <f>IFERROR(GETPIVOTDATA("Full Name",$Q$3,"Skills","Communication"),"0")</f>
        <v>12</v>
      </c>
      <c r="S11"/>
      <c r="T11" s="7" t="s">
        <v>39</v>
      </c>
      <c r="U11" s="1">
        <f>IFERROR(GETPIVOTDATA("Full Name",$T$3,"Region","Central"),"0")</f>
        <v>14</v>
      </c>
      <c r="V11"/>
      <c r="W11" s="7" t="s">
        <v>26</v>
      </c>
      <c r="X11" s="15">
        <f>IFERROR(GETPIVOTDATA("Performance Rating",$W$3,"Department","Finance"),"0")</f>
        <v>2.5833333333333335</v>
      </c>
      <c r="Y11"/>
    </row>
    <row r="12" spans="2:25" ht="14.4">
      <c r="B12" s="7" t="s">
        <v>111</v>
      </c>
      <c r="C12" s="1">
        <f>IFERROR(GETPIVOTDATA("Full Name",$B$3,"Employment Status","Part-Time"),"0")</f>
        <v>13</v>
      </c>
      <c r="E12" s="7" t="s">
        <v>40</v>
      </c>
      <c r="F12" s="9">
        <f>IFERROR(GETPIVOTDATA("Salary",$E$3,"Job Title","Designer"),"0")</f>
        <v>613842</v>
      </c>
      <c r="G12" s="9">
        <f>IFERROR(GETPIVOTDATA("Sum of Leave Taken",$E$3,"Job Title","Designer"),"0")</f>
        <v>110</v>
      </c>
      <c r="H12" s="9"/>
      <c r="I12" s="11" t="s">
        <v>23</v>
      </c>
      <c r="J12">
        <f>IFERROR(GETPIVOTDATA("Full Name",$I$3,"Age range","18-25"),"0")</f>
        <v>9</v>
      </c>
      <c r="K12"/>
      <c r="N12" s="11" t="s">
        <v>218</v>
      </c>
      <c r="O12">
        <f>SUM(O9:O11)</f>
        <v>50</v>
      </c>
      <c r="Q12" s="7" t="s">
        <v>34</v>
      </c>
      <c r="R12" s="1">
        <f>IFERROR(GETPIVOTDATA("Full Name",$Q$3,"Skills","Design"),"0")</f>
        <v>11</v>
      </c>
      <c r="S12"/>
      <c r="T12" s="7" t="s">
        <v>24</v>
      </c>
      <c r="U12" s="1">
        <f>IFERROR(GETPIVOTDATA("Full Name",$T$3,"Region","East"),"0")</f>
        <v>10</v>
      </c>
      <c r="V12"/>
      <c r="W12" s="7" t="s">
        <v>41</v>
      </c>
      <c r="X12" s="15">
        <f>IFERROR(GETPIVOTDATA("Performance Rating",$W$3,"Department","HR"),"0")</f>
        <v>3.3</v>
      </c>
      <c r="Y12"/>
    </row>
    <row r="13" spans="2:25" ht="14.4">
      <c r="B13" s="1" t="s">
        <v>218</v>
      </c>
      <c r="C13" s="1">
        <f>SUM(C10:C12)</f>
        <v>50</v>
      </c>
      <c r="E13" s="7" t="s">
        <v>72</v>
      </c>
      <c r="F13" s="17">
        <f>IFERROR(GETPIVOTDATA("Salary",$E$3,"Job Title","Developer"),"0")</f>
        <v>633594</v>
      </c>
      <c r="G13" s="9">
        <f>IFERROR(GETPIVOTDATA("Sum of Leave Taken",$E$3,"Job Title","Developer"),"0")</f>
        <v>104</v>
      </c>
      <c r="H13" s="9"/>
      <c r="I13" s="11" t="s">
        <v>38</v>
      </c>
      <c r="J13">
        <f>IFERROR(GETPIVOTDATA("Full Name",$I$3,"Age range","26-35"),"0")</f>
        <v>13</v>
      </c>
      <c r="K13"/>
      <c r="N13"/>
      <c r="O13"/>
      <c r="Q13" s="7" t="s">
        <v>96</v>
      </c>
      <c r="R13" s="1">
        <f>IFERROR(GETPIVOTDATA("Full Name",$Q$3,"Skills","Excel"),"0")</f>
        <v>7</v>
      </c>
      <c r="S13"/>
      <c r="T13" s="7" t="s">
        <v>102</v>
      </c>
      <c r="U13" s="1">
        <f>IFERROR(GETPIVOTDATA("Full Name",$T$3,"Region","North"),"0")</f>
        <v>7</v>
      </c>
      <c r="V13"/>
      <c r="W13" s="7" t="s">
        <v>81</v>
      </c>
      <c r="X13" s="15">
        <f>IFERROR(GETPIVOTDATA("Performance Rating",$W$3,"Department","IT"),"0")</f>
        <v>2.25</v>
      </c>
      <c r="Y13"/>
    </row>
    <row r="14" spans="2:25" ht="14.4">
      <c r="E14" s="7" t="s">
        <v>50</v>
      </c>
      <c r="F14" s="18">
        <f>IFERROR(GETPIVOTDATA("Salary",$E$3,"Job Title","HR Specialist"),"0")</f>
        <v>959266</v>
      </c>
      <c r="G14" s="9">
        <f>IFERROR(GETPIVOTDATA("Sum of Leave Taken",$E$3,"Job Title","HR Specialist"),"0")</f>
        <v>123</v>
      </c>
      <c r="H14" s="9"/>
      <c r="I14" s="11" t="s">
        <v>59</v>
      </c>
      <c r="J14">
        <f>IFERROR(GETPIVOTDATA("Full Name",$I$3,"Age range","36-45"),"0")</f>
        <v>12</v>
      </c>
      <c r="K14"/>
      <c r="N14"/>
      <c r="O14"/>
      <c r="Q14" s="7" t="s">
        <v>56</v>
      </c>
      <c r="R14" s="1">
        <f>IFERROR(GETPIVOTDATA("Full Name",$Q$3,"Skills","Management"),"0")</f>
        <v>11</v>
      </c>
      <c r="S14"/>
      <c r="T14" s="7" t="s">
        <v>80</v>
      </c>
      <c r="U14" s="1">
        <f>IFERROR(GETPIVOTDATA("Full Name",$T$3,"Region","South"),"0")</f>
        <v>10</v>
      </c>
      <c r="V14"/>
      <c r="W14" s="7" t="s">
        <v>51</v>
      </c>
      <c r="X14" s="15">
        <f>IFERROR(GETPIVOTDATA("Performance Rating",$W$3,"Department","Marketing"),"0")</f>
        <v>2.3636363636363638</v>
      </c>
      <c r="Y14"/>
    </row>
    <row r="15" spans="2:25" ht="14.4">
      <c r="E15" s="7" t="s">
        <v>25</v>
      </c>
      <c r="F15" s="9">
        <f>IFERROR(GETPIVOTDATA("Salary",$E$3,"Job Title","Manager"),"0")</f>
        <v>731170</v>
      </c>
      <c r="G15" s="9">
        <f>IFERROR(GETPIVOTDATA("Sum of Leave Taken",$E$3,"Job Title","Manager"),"0")</f>
        <v>122</v>
      </c>
      <c r="H15" s="9"/>
      <c r="I15" s="11" t="s">
        <v>98</v>
      </c>
      <c r="J15">
        <f>IFERROR(GETPIVOTDATA("Full Name",$I$3,"Age range","46-55"),"0")</f>
        <v>7</v>
      </c>
      <c r="K15"/>
      <c r="N15"/>
      <c r="O15"/>
      <c r="Q15" s="7" t="s">
        <v>66</v>
      </c>
      <c r="R15" s="1">
        <f>IFERROR(GETPIVOTDATA("Full Name",$Q$3,"Skills","Python"),"0")</f>
        <v>9</v>
      </c>
      <c r="S15"/>
      <c r="T15" s="7" t="s">
        <v>49</v>
      </c>
      <c r="U15" s="1">
        <f>IFERROR(GETPIVOTDATA("Full Name",$T$3,"Region","West"),"0")</f>
        <v>9</v>
      </c>
      <c r="V15"/>
      <c r="W15" s="7" t="s">
        <v>60</v>
      </c>
      <c r="X15" s="15">
        <f>IFERROR(GETPIVOTDATA("Performance Rating",$W$3,"Department","Operations"),"0")</f>
        <v>2.5555555555555554</v>
      </c>
      <c r="Y15"/>
    </row>
    <row r="16" spans="2:25" ht="14.4">
      <c r="E16" s="7" t="s">
        <v>218</v>
      </c>
      <c r="F16" s="9">
        <f>SUM(F11:F15)</f>
        <v>3104913</v>
      </c>
      <c r="G16" s="14">
        <f>SUM(G11:G15)</f>
        <v>487</v>
      </c>
      <c r="H16" s="14"/>
      <c r="I16" s="11" t="s">
        <v>68</v>
      </c>
      <c r="J16">
        <f>IFERROR(GETPIVOTDATA("Full Name",$I$3,"Age range","56 &lt;"),"0")</f>
        <v>9</v>
      </c>
      <c r="K16"/>
      <c r="N16" s="12">
        <f>SUM(O9)/SUM($O$9:$O$11)</f>
        <v>0.46</v>
      </c>
      <c r="O16" s="13">
        <f>1-N16</f>
        <v>0.54</v>
      </c>
      <c r="S16"/>
      <c r="T16" s="7" t="s">
        <v>218</v>
      </c>
      <c r="U16" s="1">
        <f>SUM(U11:U15)</f>
        <v>50</v>
      </c>
      <c r="V16"/>
      <c r="W16" s="7" t="s">
        <v>228</v>
      </c>
      <c r="X16" s="16">
        <f>AVERAGE(X11:X15)</f>
        <v>2.6105050505050502</v>
      </c>
      <c r="Y16"/>
    </row>
    <row r="17" spans="5:25" ht="14.4">
      <c r="G17"/>
      <c r="H17"/>
      <c r="I17" s="11" t="s">
        <v>218</v>
      </c>
      <c r="J17">
        <f>SUM(J12:J16)</f>
        <v>50</v>
      </c>
      <c r="K17"/>
      <c r="N17" s="12">
        <f>SUM(O10)/SUM($O$9:$O$11)</f>
        <v>0.16</v>
      </c>
      <c r="O17" s="13">
        <f>1-N17</f>
        <v>0.84</v>
      </c>
      <c r="S17"/>
      <c r="V17"/>
      <c r="Y17"/>
    </row>
    <row r="18" spans="5:25" ht="14.4">
      <c r="G18"/>
      <c r="H18"/>
      <c r="I18"/>
      <c r="J18"/>
      <c r="K18"/>
      <c r="N18" s="12">
        <f>SUM(O11)/SUM($O$9:$O$11)</f>
        <v>0.38</v>
      </c>
      <c r="O18" s="13">
        <f>1-N18</f>
        <v>0.62</v>
      </c>
      <c r="S18"/>
      <c r="V18"/>
      <c r="Y18"/>
    </row>
    <row r="19" spans="5:25" ht="14.4">
      <c r="E19" s="7" t="s">
        <v>121</v>
      </c>
      <c r="F19" s="9">
        <f>IFERROR(GETPIVOTDATA("Sum of Leave Taken",$E$3,"Job Title","Analyst"),"0")</f>
        <v>28</v>
      </c>
      <c r="G19"/>
      <c r="H19"/>
      <c r="I19" s="11" t="s">
        <v>223</v>
      </c>
      <c r="J19">
        <f>IFERROR(GETPIVOTDATA("Full Name",$I$3,"Gender","Male"),"0")</f>
        <v>24</v>
      </c>
      <c r="K19" s="12">
        <f t="shared" ref="K19:K20" si="0">SUM(J19)/SUM($J$19:$J$20)</f>
        <v>0.48</v>
      </c>
      <c r="L19" s="13">
        <f>1-K19</f>
        <v>0.52</v>
      </c>
      <c r="N19"/>
      <c r="O19"/>
      <c r="S19"/>
      <c r="V19"/>
      <c r="Y19"/>
    </row>
    <row r="20" spans="5:25" ht="14.4">
      <c r="E20" s="7" t="s">
        <v>40</v>
      </c>
      <c r="F20" s="9">
        <f>IFERROR(GETPIVOTDATA("Sum of Leave Taken",$E$3,"Job Title","Designer"),"0")</f>
        <v>110</v>
      </c>
      <c r="G20"/>
      <c r="H20"/>
      <c r="I20" s="11" t="s">
        <v>22</v>
      </c>
      <c r="J20">
        <f>IFERROR(GETPIVOTDATA("Full Name",$I$3,"Gender","Female"),"0")</f>
        <v>26</v>
      </c>
      <c r="K20" s="12">
        <f t="shared" si="0"/>
        <v>0.52</v>
      </c>
      <c r="L20" s="13">
        <f>1-K20</f>
        <v>0.48</v>
      </c>
      <c r="N20"/>
      <c r="O20"/>
      <c r="S20"/>
      <c r="Y20"/>
    </row>
    <row r="21" spans="5:25">
      <c r="E21" s="7" t="s">
        <v>72</v>
      </c>
      <c r="F21" s="17">
        <f>IFERROR(GETPIVOTDATA("Sum of Leave Taken",$E$3,"Job Title","Developer"),"0")</f>
        <v>104</v>
      </c>
      <c r="J21" s="1">
        <f>SUM(J19:J20)</f>
        <v>50</v>
      </c>
    </row>
    <row r="22" spans="5:25">
      <c r="E22" s="7" t="s">
        <v>50</v>
      </c>
      <c r="F22" s="17">
        <f>IFERROR(GETPIVOTDATA("Sum of Leave Taken",$E$3,"Job Title","HR Specialist"),"0")</f>
        <v>123</v>
      </c>
      <c r="J22" s="1" t="s">
        <v>218</v>
      </c>
    </row>
    <row r="23" spans="5:25">
      <c r="E23" s="7" t="s">
        <v>25</v>
      </c>
      <c r="F23" s="9">
        <f>IFERROR(GETPIVOTDATA("Sum of Leave Taken",$E$3,"Job Title","Manager"),"0")</f>
        <v>122</v>
      </c>
    </row>
  </sheetData>
  <mergeCells count="7">
    <mergeCell ref="T2:U2"/>
    <mergeCell ref="W2:X2"/>
    <mergeCell ref="E2:G2"/>
    <mergeCell ref="B2:C2"/>
    <mergeCell ref="I2:L2"/>
    <mergeCell ref="N2:O2"/>
    <mergeCell ref="Q2:R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 </vt:lpstr>
      <vt:lpstr>PivotTables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tejastejas35363@outlook.com</dc:creator>
  <cp:lastModifiedBy>tejastejas35363@outlook.com</cp:lastModifiedBy>
  <dcterms:created xsi:type="dcterms:W3CDTF">2025-10-28T15:43:15Z</dcterms:created>
  <dcterms:modified xsi:type="dcterms:W3CDTF">2025-11-07T10:33:58Z</dcterms:modified>
</cp:coreProperties>
</file>